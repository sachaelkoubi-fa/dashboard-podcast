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Episodes" sheetId="2" r:id="rId6"/>
    <sheet state="visible" name="Summary_By_Season" sheetId="3" r:id="rId7"/>
    <sheet state="visible" name="Summary_By_Episode" sheetId="4" r:id="rId8"/>
    <sheet state="visible" name="YouTube_Long" sheetId="5" r:id="rId9"/>
    <sheet state="visible" name="YouTube_Shorts" sheetId="6" r:id="rId10"/>
    <sheet state="visible" name="Blog" sheetId="7" r:id="rId11"/>
    <sheet state="visible" name="TikTok_Posts" sheetId="8" r:id="rId12"/>
    <sheet state="visible" name="Instagram_Posts" sheetId="9" r:id="rId13"/>
    <sheet state="visible" name="Audio" sheetId="10" r:id="rId14"/>
    <sheet state="visible" name="LinkedIn_Posts" sheetId="11" r:id="rId15"/>
  </sheets>
  <definedNames/>
  <calcPr/>
</workbook>
</file>

<file path=xl/sharedStrings.xml><?xml version="1.0" encoding="utf-8"?>
<sst xmlns="http://schemas.openxmlformats.org/spreadsheetml/2006/main" count="3387" uniqueCount="216">
  <si>
    <t>Key</t>
  </si>
  <si>
    <t>Value</t>
  </si>
  <si>
    <t>SnapshotDate</t>
  </si>
  <si>
    <t>Season</t>
  </si>
  <si>
    <t>Episode #</t>
  </si>
  <si>
    <t>Guest</t>
  </si>
  <si>
    <t>Teaser</t>
  </si>
  <si>
    <t>C. De Jaeger</t>
  </si>
  <si>
    <t>T. Dusautoir</t>
  </si>
  <si>
    <t>M. Leboyer</t>
  </si>
  <si>
    <t>T. Cambon</t>
  </si>
  <si>
    <t>M. Cazeneuve</t>
  </si>
  <si>
    <t>J. Debbouze &amp; Dr. Panichelli</t>
  </si>
  <si>
    <t>Prof. Goldman</t>
  </si>
  <si>
    <t>B. Dautzenberg</t>
  </si>
  <si>
    <t>M. Touvier</t>
  </si>
  <si>
    <t>P. Lemoine</t>
  </si>
  <si>
    <t>Maître Wang</t>
  </si>
  <si>
    <t>B. Gallix</t>
  </si>
  <si>
    <t>T. Riner &amp; Julien Corvo</t>
  </si>
  <si>
    <t>JD Chiche</t>
  </si>
  <si>
    <t>O. Goy</t>
  </si>
  <si>
    <t>Dr. Letombe</t>
  </si>
  <si>
    <t>Pr. Doré</t>
  </si>
  <si>
    <t>Pr. Sofiane Bentifallah</t>
  </si>
  <si>
    <t>YT Long Views</t>
  </si>
  <si>
    <t>YT Long Impressions</t>
  </si>
  <si>
    <t>YT Shorts Views</t>
  </si>
  <si>
    <t>YT Shorts Impressions</t>
  </si>
  <si>
    <t>YT Total Views (Long+Shorts)</t>
  </si>
  <si>
    <t>Audio DL Total</t>
  </si>
  <si>
    <t>TikTok Views</t>
  </si>
  <si>
    <t>Instagram Views</t>
  </si>
  <si>
    <t>Blog views</t>
  </si>
  <si>
    <t>LinkedIn Impressions</t>
  </si>
  <si>
    <t>LinkedIn Likes</t>
  </si>
  <si>
    <t>LinkedIn Comments</t>
  </si>
  <si>
    <t>LinkedIn Shares/Reposts</t>
  </si>
  <si>
    <t>Total YT Long Views</t>
  </si>
  <si>
    <t>Total YT Long Impressions</t>
  </si>
  <si>
    <t>YT Long CTR%</t>
  </si>
  <si>
    <t># YT Shorts</t>
  </si>
  <si>
    <t>Total audio downloads</t>
  </si>
  <si>
    <t>TikTok Posts (#)</t>
  </si>
  <si>
    <t>Instagram Posts (#)</t>
  </si>
  <si>
    <t>Website Views</t>
  </si>
  <si>
    <t>LinkedIn Posts (#)</t>
  </si>
  <si>
    <t/>
  </si>
  <si>
    <t>Video URL</t>
  </si>
  <si>
    <t>Publication date</t>
  </si>
  <si>
    <t>Title</t>
  </si>
  <si>
    <t>Views</t>
  </si>
  <si>
    <t>Impressions</t>
  </si>
  <si>
    <t>CTR%</t>
  </si>
  <si>
    <t>https://www.youtube.com/watch?v=Av5aZAm_hqY</t>
  </si>
  <si>
    <t>Healthier Humanity Podcast Teaser - Alan</t>
  </si>
  <si>
    <t>https://www.youtube.com/watch?v=WvP-0fOLoFw</t>
  </si>
  <si>
    <t>15/01/2025</t>
  </si>
  <si>
    <t>Les secrets pour vivre jusqu'à 100 ans en bonne santé - Dr Christophe de Jaeger</t>
  </si>
  <si>
    <t>https://www.youtube.com/watch?v=6whyFgvOXrk</t>
  </si>
  <si>
    <t>22/01/2025</t>
  </si>
  <si>
    <t>Dans la tête d'un champion - Thierry Dusautoir</t>
  </si>
  <si>
    <t>https://www.youtube.com/watch?v=_S8dmqLxFJE&amp;t=210s</t>
  </si>
  <si>
    <t>Les origines insoupçonnées de nos troubles mentaux - Professeur Marion Leboyer</t>
  </si>
  <si>
    <t>https://www.youtube.com/watch?v=uUO15cXxycg</t>
  </si>
  <si>
    <t>Dans les mains de l'ancien ostéopathe des bleus - Thierry Cambon</t>
  </si>
  <si>
    <t>https://www.youtube.com/watch?v=B_ig_NJDzqM&amp;t=5446s</t>
  </si>
  <si>
    <t>19/02/2025</t>
  </si>
  <si>
    <t>Dans les coulisses de notre système de santé - Marguerite Cazeneuve</t>
  </si>
  <si>
    <t>https://www.youtube.com/watch?v=DlwboaA-AUM&amp;t=250s</t>
  </si>
  <si>
    <t>19/03/2025</t>
  </si>
  <si>
    <t>La thérapie par le rire : entre art et science - Jamel Debbouze et Dr. Christophe Panichelli</t>
  </si>
  <si>
    <t>https://www.youtube.com/watch?v=evyFGQCuVzI</t>
  </si>
  <si>
    <t>Dans les coulisses de la médecine du futur - Professeur Michel Goldman</t>
  </si>
  <si>
    <t>https://www.youtube.com/watch?v=cKM48mPEUxU&amp;t=100s</t>
  </si>
  <si>
    <t>16/04/2025</t>
  </si>
  <si>
    <t>Quand arrêter de fumer devient un plaisir - Professeur Bertrand Dautzenberg</t>
  </si>
  <si>
    <t>https://www.youtube.com/watch?v=x2wjzudOrXo</t>
  </si>
  <si>
    <t>30/04/2025</t>
  </si>
  <si>
    <t>Les secrets nutrition pour gagner 10 ans de vie - Professeure Mathilde Touvier</t>
  </si>
  <si>
    <t>https://www.youtube.com/watch?v=lDRZIDiTA-k&amp;t=4546s</t>
  </si>
  <si>
    <t>14/05/2025</t>
  </si>
  <si>
    <t>Votre longévité se joue la nuit - Professeur Patrick Lemoine</t>
  </si>
  <si>
    <t>https://www.youtube.com/watch?v=2YKpIg3W91Q&amp;t=4375s</t>
  </si>
  <si>
    <t>6 leçons de vie d'un Maître Zen pour vivre sans stress - Maître Reigen Wang-Genh</t>
  </si>
  <si>
    <t>https://www.youtube.com/watch?v=oe-OPgltoGA&amp;t=126s</t>
  </si>
  <si>
    <t>24/07/2025</t>
  </si>
  <si>
    <t>3 piliers d'un professeur qui éliminent 80% des risques de vieillissement - Professeur Benoît Gallix</t>
  </si>
  <si>
    <t>https://www.youtube.com/watch?v=apGHCBmpdqg</t>
  </si>
  <si>
    <t>16/09/2025</t>
  </si>
  <si>
    <t>Teddy Riner dévoile ses 4 piliers de longévité</t>
  </si>
  <si>
    <t>https://www.youtube.com/watch?v=aqdh3NwqFz8&amp;t=1770s</t>
  </si>
  <si>
    <t>17/09/2025</t>
  </si>
  <si>
    <t>Comment ce professeur crée des "deuxièmes vies" en réanimation - Professeur Jean-Daniel Chiche</t>
  </si>
  <si>
    <t>https://www.youtube.com/watch?v=bx9RaIjhkpo</t>
  </si>
  <si>
    <t>Les 5 leçons qui vont transformer votre vie - Olivier Goy atteint de la maladie de Charcot</t>
  </si>
  <si>
    <t>https://www.youtube.com/watch?v=F0wYSo6owfc&amp;t=45s</t>
  </si>
  <si>
    <t>19/11/2025</t>
  </si>
  <si>
    <t>Les 3 secrets d'une gynécologue pour traverser la ménopause sans souffrir - Dr. Brigitte Letombe</t>
  </si>
  <si>
    <t>https://www.youtube.com/watch?v=I9Q0acZAEOM&amp;list=PL643LyZcrKMBmCNy1hxFErN-GFqwDaVhu&amp;index=5</t>
  </si>
  <si>
    <t>Microbiote intestinal : agissez sur votre immunité, santé mentale et risque de cancer - Pr Joël Doré</t>
  </si>
  <si>
    <t>Pr. Sofiane Bendifallah</t>
  </si>
  <si>
    <t>https://www.youtube.com/watch?v=tk6yxMReJAE&amp;list=PL643LyZcrKMBmCNy1hxFErN-GFqwDaVhu</t>
  </si>
  <si>
    <t>14/01/2026</t>
  </si>
  <si>
    <t>Endométriose : 5 signaux d'alerte et comment agir avant la PMA - Pr. Sofiane Bendifallah</t>
  </si>
  <si>
    <t># shorts</t>
  </si>
  <si>
    <t>Short 1 link</t>
  </si>
  <si>
    <t>Short 1 Views</t>
  </si>
  <si>
    <t>Short 1 Impressions</t>
  </si>
  <si>
    <t>Short 2 link</t>
  </si>
  <si>
    <t>Short 2 Views</t>
  </si>
  <si>
    <t>Short 2 Impressions</t>
  </si>
  <si>
    <t>Short 3 link</t>
  </si>
  <si>
    <t>Short 3 Views</t>
  </si>
  <si>
    <t>Short 3 Impressions</t>
  </si>
  <si>
    <t>Short 4 link</t>
  </si>
  <si>
    <t>Short 4 Views</t>
  </si>
  <si>
    <t>Short 4 Impressions</t>
  </si>
  <si>
    <t>Short 5 link</t>
  </si>
  <si>
    <t>Short 5 Views</t>
  </si>
  <si>
    <t>Short 5 Impressions</t>
  </si>
  <si>
    <t>Short 6 link</t>
  </si>
  <si>
    <t>Short 6 views</t>
  </si>
  <si>
    <t>Short 6 impresions</t>
  </si>
  <si>
    <t>Short 7 link</t>
  </si>
  <si>
    <t>Short 7 views</t>
  </si>
  <si>
    <t>Short 7 impresions</t>
  </si>
  <si>
    <t>Short 8 link</t>
  </si>
  <si>
    <t>Short 8 views</t>
  </si>
  <si>
    <t>Short 8 impresions</t>
  </si>
  <si>
    <t>https://www.youtube.com/watch?v=L-1iLxFlZVM</t>
  </si>
  <si>
    <t>https://www.youtube.com/watch?v=3fonJ7ui34Y</t>
  </si>
  <si>
    <t>https://www.youtube.com/watch?v=yOnuXHqiyC4</t>
  </si>
  <si>
    <t>https://www.youtube.com/watch?v=Iw3kHKwg9ik</t>
  </si>
  <si>
    <t>https://www.youtube.com/watch?v=OIL9tx-dgw4</t>
  </si>
  <si>
    <t>https://www.youtube.com/watch?v=j-AzcBlccxg</t>
  </si>
  <si>
    <t>https://www.youtube.com/watch?v=iFuh3wp988U</t>
  </si>
  <si>
    <t>https://www.youtube.com/watch?v=ND8Ylh7SeaM</t>
  </si>
  <si>
    <t>https://www.youtube.com/watch?v=iHHwpV-sKqc</t>
  </si>
  <si>
    <t>https://www.youtube.com/watch?v=dIFbn4D9Urg</t>
  </si>
  <si>
    <t>https://www.youtube.com/watch?v=BdtgTMGFzII</t>
  </si>
  <si>
    <t>https://www.youtube.com/watch?v=QDyl6KBHSaM</t>
  </si>
  <si>
    <t>https://www.youtube.com/watch?v=u3mUNluaQfg</t>
  </si>
  <si>
    <t>https://www.youtube.com/watch?v=9HH1B-YFHA4</t>
  </si>
  <si>
    <t>https://www.youtube.com/watch?v=LzUAEVfcfxU</t>
  </si>
  <si>
    <t>https://www.youtube.com/watch?v=CtFPgONGg0k</t>
  </si>
  <si>
    <t>https://www.youtube.com/watch?v=p1MgpWH4-i0</t>
  </si>
  <si>
    <t>https://www.youtube.com/watch?v=Q1PzJrveVR4</t>
  </si>
  <si>
    <t>https://www.youtube.com/watch?v=TBx_cNa_-To</t>
  </si>
  <si>
    <t>https://www.youtube.com/watch?v=qgQm57cZ7TI</t>
  </si>
  <si>
    <t>https://www.youtube.com/watch?v=Pa94Adn5IN4</t>
  </si>
  <si>
    <t>https://www.youtube.com/watch?v=rgQiGw7UxcM</t>
  </si>
  <si>
    <t>https://www.youtube.com/watch?v=X_d6kMi17ag</t>
  </si>
  <si>
    <t>https://www.youtube.com/watch?v=Dal4St5rCI4</t>
  </si>
  <si>
    <t>https://www.youtube.com/watch?v=KLXWyYwP9ks</t>
  </si>
  <si>
    <t>https://www.youtube.com/watch?v=AV1nc_c1m4I</t>
  </si>
  <si>
    <t>https://www.youtube.com/watch?v=26ahWUJ6NoU</t>
  </si>
  <si>
    <t>https://www.youtube.com/watch?v=Jhv1_jhVvcY</t>
  </si>
  <si>
    <t>https://www.youtube.com/watch?v=xZagA3qLKIo</t>
  </si>
  <si>
    <t>https://www.youtube.com/watch?v=Q-cSE5BA8z0</t>
  </si>
  <si>
    <t>https://www.youtube.com/watch?v=u7ZJHHkhoZA</t>
  </si>
  <si>
    <t>https://www.youtube.com/watch?v=OC3RWuL_XhU</t>
  </si>
  <si>
    <t>https://www.youtube.com/watch?v=XGXst1HonTk</t>
  </si>
  <si>
    <t>https://www.youtube.com/watch?v=E1y5mCF0MWs</t>
  </si>
  <si>
    <t>https://www.youtube.com/watch?v=nt5g-OsyeO4</t>
  </si>
  <si>
    <t>https://www.youtube.com/watch?v=cN2kfKNLwe0</t>
  </si>
  <si>
    <t>https://www.youtube.com/watch?v=6l99Bdmd7Fo</t>
  </si>
  <si>
    <t>https://www.youtube.com/watch?v=hfBS66aBZuU</t>
  </si>
  <si>
    <t>https://www.youtube.com/watch?v=bhuYcGYHEKs&amp;list=PL643LyZcrKMBmCNy1hxFErN-GFqwDaVhu&amp;index=2</t>
  </si>
  <si>
    <t>https://www.youtube.com/watch?v=tjQ3qZzFIzg</t>
  </si>
  <si>
    <t>https://www.youtube.com/watch?v=dGZ4grwJJK8</t>
  </si>
  <si>
    <t>Blog URL</t>
  </si>
  <si>
    <t>https://alan.com/fr-fr/blog/prendre-soin-vous/a/healthier-humanity-podcast-episode-1-les-secrets-pour-vivre-jusqua-100-ans</t>
  </si>
  <si>
    <t>https://alan.com/fr-fr/blog/prendre-soin-vous/a/healthier-humanity-podcast-episode-2-dans-la-tete-dun-champion-thierry</t>
  </si>
  <si>
    <t>https://alan.com/fr-fr/blog/prendre-soin-vous/a/healthier-humanity-podcast-episode-3-les-origines-insoupconnees-de-nos</t>
  </si>
  <si>
    <t>https://alan.com/fr-fr/blog/prendre-soin-vous/a/healthier-humanity-podcast-episode-4-dans-les-mains-de-lancien-oste-opathe</t>
  </si>
  <si>
    <t>https://alan.com/fr-fr/blog/prendre-soin-vous/a/healthier-humanity-podcast-episode-5-dans-les-coulisses-de-notre-systeme-de</t>
  </si>
  <si>
    <t>https://alan.com/fr-fr/blog/prendre-soin-vous/a/healthier-humanity-podcast-episode-6-la-therapie-par-le-rire-entre-art-et</t>
  </si>
  <si>
    <t>https://alan.com/fr-fr/blog/prendre-soin-vous/a/healthier-humanity-podcast-episode-7-dans-les-coulisses-de-linnovation-me</t>
  </si>
  <si>
    <t>https://alan.com/fr-fr/blog/prendre-soin-vous/a/healthier-humanity-podcast-episode-8-quand-arreter-de-fumer-devient-un</t>
  </si>
  <si>
    <t>https://alan.com/fr-fr/blog/prendre-soin-vous/a/healthier-humanity-podcast-episode-9-le-grand-decryptage-de-nos-assiettes</t>
  </si>
  <si>
    <t>https://alan.com/fr-fr/blog/prendre-soin-vous/a/healthier-humanity-podcast-episode-10-votre-longevite-se-joue-la-nuit</t>
  </si>
  <si>
    <t>https://alan.com/fr-fr/blog/prendre-soin-vous/a/healthier-humanity-podcast-episode-11-6-lecons-de-vie-dun-maitre-zen-pour</t>
  </si>
  <si>
    <t>https://alan.com/fr-fr/blog/prendre-soin-vous/a/healthier-humanity-longevite-les-cles-pour-vieillir-en-bonne-sante-avec-le</t>
  </si>
  <si>
    <t>https://alan.com/fr-fr/blog/prendre-soin-vous/a/healthier-humanity-teddy-riner-la-science-de-sa-longevite-avec-teddy-riner</t>
  </si>
  <si>
    <t>https://alan.com/fr-fr/blog/prendre-soin-vous/a/healthier-humanity-vie-ou-mort-ce-qui-vous-attend-avec-le-professeur-jean</t>
  </si>
  <si>
    <t>https://alan.com/fr-fr/blog/prendre-soin-vous/a/healthier-humanity-les-5-lecons-qui-vont-transformer-votre-vie-olivier-goy</t>
  </si>
  <si>
    <t>https://alan.com/fr-fr/blog/prendre-soin-vous/a/healthier-humanity-les-3-secrets-dune-gyne-cologue-pour-traverser-la-me</t>
  </si>
  <si>
    <t>https://alan.com/fr-fr/blog/prendre-soin-vous/a/healthier-humanity-microbiote-intestinal-agissez-sur-votre-immunite-votre</t>
  </si>
  <si>
    <t>https://alan.com/fr-fr/blog/prendre-soin-vous/a/healthier-humanity-endome-triose-5-signaux-dalerte-et-comment-agir-avant-la</t>
  </si>
  <si>
    <t>Post URL</t>
  </si>
  <si>
    <t># posts</t>
  </si>
  <si>
    <t>Avg views/post</t>
  </si>
  <si>
    <t>Total # views</t>
  </si>
  <si>
    <t>Post 1 # views</t>
  </si>
  <si>
    <t>Post 2 # views</t>
  </si>
  <si>
    <t>Post 3 # views</t>
  </si>
  <si>
    <t>Post 4 # views</t>
  </si>
  <si>
    <t>Post 5 # views</t>
  </si>
  <si>
    <t>Post 6 # views</t>
  </si>
  <si>
    <t>Post 7 # views</t>
  </si>
  <si>
    <t># total Posts</t>
  </si>
  <si>
    <t># total views</t>
  </si>
  <si>
    <t>Avg views per post</t>
  </si>
  <si>
    <t>Downloads FR</t>
  </si>
  <si>
    <t>Downloads EN</t>
  </si>
  <si>
    <t>Downloads Total</t>
  </si>
  <si>
    <t>Alan account</t>
  </si>
  <si>
    <t>Post 1 URL</t>
  </si>
  <si>
    <t>Post 1 Impressions</t>
  </si>
  <si>
    <t>Likes</t>
  </si>
  <si>
    <t>Comments</t>
  </si>
  <si>
    <t>Shares/Reposts</t>
  </si>
  <si>
    <t>Account (Alan/JCS/Guest)</t>
  </si>
  <si>
    <t>Alan</t>
  </si>
  <si>
    <t>JCS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</si>
</sst>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-mm-dd"/>
    <numFmt numFmtId="165" formatCode="0.0%"/>
    <numFmt numFmtId="166" formatCode="mm/dd/yyyy"/>
    <numFmt numFmtId="167" formatCode="M/d/yyyy"/>
  </numFmts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</font>
    <font>
      <color rgb="FF0F0F0F"/>
      <name val="Roboto"/>
    </font>
    <font>
      <color rgb="FF0D0D0D"/>
      <name val="Roboto"/>
    </font>
    <font>
      <u/>
      <color rgb="FF0000FF"/>
    </font>
    <font>
      <color rgb="FF60606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9F9F9"/>
        <bgColor rgb="FFF9F9F9"/>
      </patternFill>
    </fill>
  </fills>
  <borders count="1">
    <border/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0" fontId="3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2" numFmtId="3" xfId="0" applyFont="1" applyNumberFormat="1"/>
    <xf borderId="0" fillId="0" fontId="2" numFmtId="165" xfId="0" applyFont="1" applyNumberFormat="1"/>
    <xf borderId="0" fillId="0" fontId="4" numFmtId="0" xfId="0" applyAlignment="1" applyFont="1">
      <alignment readingOrder="0"/>
    </xf>
    <xf borderId="0" fillId="3" fontId="5" numFmtId="166" xfId="0" applyAlignment="1" applyFill="1" applyFont="1" applyNumberFormat="1">
      <alignment horizontal="left" readingOrder="0" shrinkToFit="0" wrapText="0"/>
    </xf>
    <xf borderId="0" fillId="3" fontId="5" numFmtId="0" xfId="0" applyAlignment="1" applyFont="1">
      <alignment horizontal="left" readingOrder="0" shrinkToFit="0" wrapText="0"/>
    </xf>
    <xf borderId="0" fillId="0" fontId="2" numFmtId="3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3" fontId="5" numFmtId="3" xfId="0" applyAlignment="1" applyFont="1" applyNumberFormat="1">
      <alignment horizontal="left" readingOrder="0" shrinkToFit="0" wrapText="0"/>
    </xf>
    <xf borderId="0" fillId="4" fontId="6" numFmtId="3" xfId="0" applyAlignment="1" applyFill="1" applyFont="1" applyNumberFormat="1">
      <alignment horizontal="right" readingOrder="0" shrinkToFit="0" wrapText="0"/>
    </xf>
    <xf borderId="0" fillId="4" fontId="6" numFmtId="165" xfId="0" applyAlignment="1" applyFont="1" applyNumberFormat="1">
      <alignment horizontal="right" readingOrder="0" shrinkToFit="0" wrapText="0"/>
    </xf>
    <xf borderId="0" fillId="4" fontId="6" numFmtId="166" xfId="0" applyAlignment="1" applyFont="1" applyNumberFormat="1">
      <alignment horizontal="left" readingOrder="0" shrinkToFit="0" wrapText="0"/>
    </xf>
    <xf borderId="0" fillId="4" fontId="6" numFmtId="3" xfId="0" applyAlignment="1" applyFont="1" applyNumberFormat="1">
      <alignment horizontal="left" readingOrder="0" shrinkToFit="0" wrapText="0"/>
    </xf>
    <xf borderId="0" fillId="4" fontId="6" numFmtId="0" xfId="0" applyAlignment="1" applyFont="1">
      <alignment horizontal="left" readingOrder="0" shrinkToFit="0" wrapText="0"/>
    </xf>
    <xf borderId="0" fillId="4" fontId="6" numFmtId="0" xfId="0" applyAlignment="1" applyFont="1">
      <alignment horizontal="right" readingOrder="0" shrinkToFit="0" wrapText="0"/>
    </xf>
    <xf borderId="0" fillId="0" fontId="6" numFmtId="165" xfId="0" applyAlignment="1" applyFont="1" applyNumberFormat="1">
      <alignment horizontal="right" readingOrder="0" shrinkToFit="0" vertical="top" wrapText="0"/>
    </xf>
    <xf borderId="0" fillId="0" fontId="2" numFmtId="3" xfId="0" applyAlignment="1" applyFont="1" applyNumberFormat="1">
      <alignment horizontal="left" readingOrder="0"/>
    </xf>
    <xf borderId="0" fillId="4" fontId="6" numFmtId="166" xfId="0" applyAlignment="1" applyFont="1" applyNumberFormat="1">
      <alignment horizontal="left" readingOrder="0"/>
    </xf>
    <xf borderId="0" fillId="4" fontId="6" numFmtId="3" xfId="0" applyAlignment="1" applyFont="1" applyNumberFormat="1">
      <alignment horizontal="left" readingOrder="0"/>
    </xf>
    <xf borderId="0" fillId="4" fontId="6" numFmtId="3" xfId="0" applyAlignment="1" applyFont="1" applyNumberFormat="1">
      <alignment horizontal="right" readingOrder="0"/>
    </xf>
    <xf borderId="0" fillId="4" fontId="6" numFmtId="167" xfId="0" applyAlignment="1" applyFont="1" applyNumberFormat="1">
      <alignment horizontal="left" readingOrder="0" shrinkToFit="0" wrapText="0"/>
    </xf>
    <xf borderId="0" fillId="0" fontId="3" numFmtId="0" xfId="0" applyAlignment="1" applyFont="1">
      <alignment readingOrder="0" vertical="bottom"/>
    </xf>
    <xf borderId="0" fillId="0" fontId="7" numFmtId="0" xfId="0" applyAlignment="1" applyFont="1">
      <alignment readingOrder="0"/>
    </xf>
    <xf borderId="0" fillId="0" fontId="6" numFmtId="3" xfId="0" applyAlignment="1" applyFont="1" applyNumberFormat="1">
      <alignment horizontal="right" readingOrder="0" shrinkToFit="0" vertical="top" wrapText="0"/>
    </xf>
    <xf borderId="0" fillId="0" fontId="6" numFmtId="0" xfId="0" applyAlignment="1" applyFont="1">
      <alignment horizontal="right" shrinkToFit="0" vertical="top" wrapText="0"/>
    </xf>
    <xf borderId="0" fillId="4" fontId="6" numFmtId="0" xfId="0" applyAlignment="1" applyFont="1">
      <alignment horizontal="right" shrinkToFit="0" wrapText="0"/>
    </xf>
    <xf borderId="0" fillId="4" fontId="8" numFmtId="0" xfId="0" applyAlignment="1" applyFont="1">
      <alignment horizontal="right" readingOrder="0" shrinkToFit="0" wrapText="0"/>
    </xf>
    <xf borderId="0" fillId="4" fontId="6" numFmtId="3" xfId="0" applyAlignment="1" applyFont="1" applyNumberFormat="1">
      <alignment horizontal="right" shrinkToFit="0" wrapText="0"/>
    </xf>
    <xf borderId="0" fillId="0" fontId="1" numFmtId="1" xfId="0" applyAlignment="1" applyFont="1" applyNumberFormat="1">
      <alignment readingOrder="0"/>
    </xf>
    <xf borderId="0" fillId="0" fontId="3" numFmtId="0" xfId="0" applyAlignment="1" applyFon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1" xfId="0" applyFont="1" applyNumberFormat="1"/>
    <xf borderId="0" fillId="0" fontId="2" numFmtId="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5.xml"/><Relationship Id="rId11" Type="http://schemas.openxmlformats.org/officeDocument/2006/relationships/hyperlink" Target="https://www.youtube.com/watch?v=lDRZIDiTA-k&amp;t=4546s" TargetMode="External"/><Relationship Id="rId10" Type="http://schemas.openxmlformats.org/officeDocument/2006/relationships/hyperlink" Target="https://www.youtube.com/watch?v=x2wjzudOrXo" TargetMode="External"/><Relationship Id="rId13" Type="http://schemas.openxmlformats.org/officeDocument/2006/relationships/hyperlink" Target="https://www.youtube.com/watch?v=oe-OPgltoGA&amp;t=126s" TargetMode="External"/><Relationship Id="rId12" Type="http://schemas.openxmlformats.org/officeDocument/2006/relationships/hyperlink" Target="https://www.youtube.com/watch?v=2YKpIg3W91Q&amp;t=4375s" TargetMode="External"/><Relationship Id="rId1" Type="http://schemas.openxmlformats.org/officeDocument/2006/relationships/hyperlink" Target="https://www.youtube.com/watch?v=Av5aZAm_hqY" TargetMode="External"/><Relationship Id="rId2" Type="http://schemas.openxmlformats.org/officeDocument/2006/relationships/hyperlink" Target="https://www.youtube.com/watch?v=WvP-0fOLoFw" TargetMode="External"/><Relationship Id="rId3" Type="http://schemas.openxmlformats.org/officeDocument/2006/relationships/hyperlink" Target="https://www.youtube.com/watch?v=6whyFgvOXrk" TargetMode="External"/><Relationship Id="rId4" Type="http://schemas.openxmlformats.org/officeDocument/2006/relationships/hyperlink" Target="https://www.youtube.com/watch?v=_S8dmqLxFJE&amp;t=210s" TargetMode="External"/><Relationship Id="rId9" Type="http://schemas.openxmlformats.org/officeDocument/2006/relationships/hyperlink" Target="https://www.youtube.com/watch?v=cKM48mPEUxU&amp;t=100s" TargetMode="External"/><Relationship Id="rId15" Type="http://schemas.openxmlformats.org/officeDocument/2006/relationships/hyperlink" Target="https://www.youtube.com/watch?v=aqdh3NwqFz8&amp;t=1770s" TargetMode="External"/><Relationship Id="rId14" Type="http://schemas.openxmlformats.org/officeDocument/2006/relationships/hyperlink" Target="https://www.youtube.com/watch?v=apGHCBmpdqg" TargetMode="External"/><Relationship Id="rId17" Type="http://schemas.openxmlformats.org/officeDocument/2006/relationships/hyperlink" Target="https://www.youtube.com/watch?v=F0wYSo6owfc&amp;t=45s" TargetMode="External"/><Relationship Id="rId16" Type="http://schemas.openxmlformats.org/officeDocument/2006/relationships/hyperlink" Target="https://www.youtube.com/watch?v=bx9RaIjhkpo" TargetMode="External"/><Relationship Id="rId5" Type="http://schemas.openxmlformats.org/officeDocument/2006/relationships/hyperlink" Target="https://www.youtube.com/watch?v=uUO15cXxycg" TargetMode="External"/><Relationship Id="rId19" Type="http://schemas.openxmlformats.org/officeDocument/2006/relationships/hyperlink" Target="https://www.youtube.com/watch?v=tk6yxMReJAE&amp;list=PL643LyZcrKMBmCNy1hxFErN-GFqwDaVhu" TargetMode="External"/><Relationship Id="rId6" Type="http://schemas.openxmlformats.org/officeDocument/2006/relationships/hyperlink" Target="https://www.youtube.com/watch?v=B_ig_NJDzqM&amp;t=5446s" TargetMode="External"/><Relationship Id="rId18" Type="http://schemas.openxmlformats.org/officeDocument/2006/relationships/hyperlink" Target="https://www.youtube.com/watch?v=I9Q0acZAEOM&amp;list=PL643LyZcrKMBmCNy1hxFErN-GFqwDaVhu&amp;index=5" TargetMode="External"/><Relationship Id="rId7" Type="http://schemas.openxmlformats.org/officeDocument/2006/relationships/hyperlink" Target="https://www.youtube.com/watch?v=DlwboaA-AUM&amp;t=250s" TargetMode="External"/><Relationship Id="rId8" Type="http://schemas.openxmlformats.org/officeDocument/2006/relationships/hyperlink" Target="https://www.youtube.com/watch?v=evyFGQCuVzI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bhuYcGYHEKs&amp;list=PL643LyZcrKMBmCNy1hxFErN-GFqwDaVhu&amp;index=2" TargetMode="External"/><Relationship Id="rId20" Type="http://schemas.openxmlformats.org/officeDocument/2006/relationships/hyperlink" Target="https://www.youtube.com/watch?v=TBx_cNa_-To" TargetMode="External"/><Relationship Id="rId42" Type="http://schemas.openxmlformats.org/officeDocument/2006/relationships/hyperlink" Target="https://www.youtube.com/watch?v=dGZ4grwJJK8" TargetMode="External"/><Relationship Id="rId41" Type="http://schemas.openxmlformats.org/officeDocument/2006/relationships/hyperlink" Target="https://www.youtube.com/watch?v=tjQ3qZzFIzg" TargetMode="External"/><Relationship Id="rId22" Type="http://schemas.openxmlformats.org/officeDocument/2006/relationships/hyperlink" Target="https://www.youtube.com/watch?v=Pa94Adn5IN4" TargetMode="External"/><Relationship Id="rId21" Type="http://schemas.openxmlformats.org/officeDocument/2006/relationships/hyperlink" Target="https://www.youtube.com/watch?v=qgQm57cZ7TI" TargetMode="External"/><Relationship Id="rId43" Type="http://schemas.openxmlformats.org/officeDocument/2006/relationships/drawing" Target="../drawings/drawing6.xml"/><Relationship Id="rId24" Type="http://schemas.openxmlformats.org/officeDocument/2006/relationships/hyperlink" Target="https://www.youtube.com/watch?v=X_d6kMi17ag" TargetMode="External"/><Relationship Id="rId23" Type="http://schemas.openxmlformats.org/officeDocument/2006/relationships/hyperlink" Target="https://www.youtube.com/watch?v=rgQiGw7UxcM" TargetMode="External"/><Relationship Id="rId1" Type="http://schemas.openxmlformats.org/officeDocument/2006/relationships/hyperlink" Target="https://www.youtube.com/watch?v=L-1iLxFlZVM" TargetMode="External"/><Relationship Id="rId2" Type="http://schemas.openxmlformats.org/officeDocument/2006/relationships/hyperlink" Target="https://www.youtube.com/watch?v=3fonJ7ui34Y" TargetMode="External"/><Relationship Id="rId3" Type="http://schemas.openxmlformats.org/officeDocument/2006/relationships/hyperlink" Target="https://www.youtube.com/watch?v=yOnuXHqiyC4" TargetMode="External"/><Relationship Id="rId4" Type="http://schemas.openxmlformats.org/officeDocument/2006/relationships/hyperlink" Target="https://www.youtube.com/watch?v=Iw3kHKwg9ik" TargetMode="External"/><Relationship Id="rId9" Type="http://schemas.openxmlformats.org/officeDocument/2006/relationships/hyperlink" Target="https://www.youtube.com/watch?v=iHHwpV-sKqc" TargetMode="External"/><Relationship Id="rId26" Type="http://schemas.openxmlformats.org/officeDocument/2006/relationships/hyperlink" Target="https://www.youtube.com/watch?v=KLXWyYwP9ks" TargetMode="External"/><Relationship Id="rId25" Type="http://schemas.openxmlformats.org/officeDocument/2006/relationships/hyperlink" Target="https://www.youtube.com/watch?v=Dal4St5rCI4" TargetMode="External"/><Relationship Id="rId28" Type="http://schemas.openxmlformats.org/officeDocument/2006/relationships/hyperlink" Target="https://www.youtube.com/watch?v=26ahWUJ6NoU" TargetMode="External"/><Relationship Id="rId27" Type="http://schemas.openxmlformats.org/officeDocument/2006/relationships/hyperlink" Target="https://www.youtube.com/watch?v=AV1nc_c1m4I" TargetMode="External"/><Relationship Id="rId5" Type="http://schemas.openxmlformats.org/officeDocument/2006/relationships/hyperlink" Target="https://www.youtube.com/watch?v=OIL9tx-dgw4" TargetMode="External"/><Relationship Id="rId6" Type="http://schemas.openxmlformats.org/officeDocument/2006/relationships/hyperlink" Target="https://www.youtube.com/watch?v=j-AzcBlccxg" TargetMode="External"/><Relationship Id="rId29" Type="http://schemas.openxmlformats.org/officeDocument/2006/relationships/hyperlink" Target="https://www.youtube.com/watch?v=Jhv1_jhVvcY" TargetMode="External"/><Relationship Id="rId7" Type="http://schemas.openxmlformats.org/officeDocument/2006/relationships/hyperlink" Target="https://www.youtube.com/watch?v=iFuh3wp988U" TargetMode="External"/><Relationship Id="rId8" Type="http://schemas.openxmlformats.org/officeDocument/2006/relationships/hyperlink" Target="https://www.youtube.com/watch?v=ND8Ylh7SeaM" TargetMode="External"/><Relationship Id="rId31" Type="http://schemas.openxmlformats.org/officeDocument/2006/relationships/hyperlink" Target="https://www.youtube.com/watch?v=Q-cSE5BA8z0" TargetMode="External"/><Relationship Id="rId30" Type="http://schemas.openxmlformats.org/officeDocument/2006/relationships/hyperlink" Target="https://www.youtube.com/watch?v=xZagA3qLKIo" TargetMode="External"/><Relationship Id="rId11" Type="http://schemas.openxmlformats.org/officeDocument/2006/relationships/hyperlink" Target="https://www.youtube.com/watch?v=BdtgTMGFzII" TargetMode="External"/><Relationship Id="rId33" Type="http://schemas.openxmlformats.org/officeDocument/2006/relationships/hyperlink" Target="https://www.youtube.com/watch?v=OC3RWuL_XhU" TargetMode="External"/><Relationship Id="rId10" Type="http://schemas.openxmlformats.org/officeDocument/2006/relationships/hyperlink" Target="https://www.youtube.com/watch?v=dIFbn4D9Urg" TargetMode="External"/><Relationship Id="rId32" Type="http://schemas.openxmlformats.org/officeDocument/2006/relationships/hyperlink" Target="https://www.youtube.com/watch?v=u7ZJHHkhoZA" TargetMode="External"/><Relationship Id="rId13" Type="http://schemas.openxmlformats.org/officeDocument/2006/relationships/hyperlink" Target="https://www.youtube.com/watch?v=QDyl6KBHSaM" TargetMode="External"/><Relationship Id="rId35" Type="http://schemas.openxmlformats.org/officeDocument/2006/relationships/hyperlink" Target="https://www.youtube.com/watch?v=E1y5mCF0MWs" TargetMode="External"/><Relationship Id="rId12" Type="http://schemas.openxmlformats.org/officeDocument/2006/relationships/hyperlink" Target="https://www.youtube.com/watch?v=L-1iLxFlZVM" TargetMode="External"/><Relationship Id="rId34" Type="http://schemas.openxmlformats.org/officeDocument/2006/relationships/hyperlink" Target="https://www.youtube.com/watch?v=XGXst1HonTk" TargetMode="External"/><Relationship Id="rId15" Type="http://schemas.openxmlformats.org/officeDocument/2006/relationships/hyperlink" Target="https://www.youtube.com/watch?v=9HH1B-YFHA4" TargetMode="External"/><Relationship Id="rId37" Type="http://schemas.openxmlformats.org/officeDocument/2006/relationships/hyperlink" Target="https://www.youtube.com/watch?v=cN2kfKNLwe0" TargetMode="External"/><Relationship Id="rId14" Type="http://schemas.openxmlformats.org/officeDocument/2006/relationships/hyperlink" Target="https://www.youtube.com/watch?v=u3mUNluaQfg" TargetMode="External"/><Relationship Id="rId36" Type="http://schemas.openxmlformats.org/officeDocument/2006/relationships/hyperlink" Target="https://www.youtube.com/watch?v=nt5g-OsyeO4" TargetMode="External"/><Relationship Id="rId17" Type="http://schemas.openxmlformats.org/officeDocument/2006/relationships/hyperlink" Target="https://www.youtube.com/watch?v=CtFPgONGg0k" TargetMode="External"/><Relationship Id="rId39" Type="http://schemas.openxmlformats.org/officeDocument/2006/relationships/hyperlink" Target="https://www.youtube.com/watch?v=hfBS66aBZuU" TargetMode="External"/><Relationship Id="rId16" Type="http://schemas.openxmlformats.org/officeDocument/2006/relationships/hyperlink" Target="https://www.youtube.com/watch?v=LzUAEVfcfxU" TargetMode="External"/><Relationship Id="rId38" Type="http://schemas.openxmlformats.org/officeDocument/2006/relationships/hyperlink" Target="https://www.youtube.com/watch?v=6l99Bdmd7Fo" TargetMode="External"/><Relationship Id="rId19" Type="http://schemas.openxmlformats.org/officeDocument/2006/relationships/hyperlink" Target="https://www.youtube.com/watch?v=Q1PzJrveVR4" TargetMode="External"/><Relationship Id="rId18" Type="http://schemas.openxmlformats.org/officeDocument/2006/relationships/hyperlink" Target="https://www.youtube.com/watch?v=p1MgpWH4-i0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alan.com/fr-fr/blog/prendre-soin-vous/a/healthier-humanity-podcast-episode-1-les-secrets-pour-vivre-jusqua-100-ans" TargetMode="External"/><Relationship Id="rId2" Type="http://schemas.openxmlformats.org/officeDocument/2006/relationships/hyperlink" Target="https://alan.com/fr-fr/blog/prendre-soin-vous/a/healthier-humanity-podcast-episode-2-dans-la-tete-dun-champion-thierry" TargetMode="External"/><Relationship Id="rId3" Type="http://schemas.openxmlformats.org/officeDocument/2006/relationships/hyperlink" Target="https://alan.com/fr-fr/blog/prendre-soin-vous/a/healthier-humanity-podcast-episode-3-les-origines-insoupconnees-de-nos" TargetMode="External"/><Relationship Id="rId4" Type="http://schemas.openxmlformats.org/officeDocument/2006/relationships/hyperlink" Target="https://alan.com/fr-fr/blog/prendre-soin-vous/a/healthier-humanity-podcast-episode-4-dans-les-mains-de-lancien-oste-opathe" TargetMode="External"/><Relationship Id="rId9" Type="http://schemas.openxmlformats.org/officeDocument/2006/relationships/hyperlink" Target="https://alan.com/fr-fr/blog/prendre-soin-vous/a/healthier-humanity-podcast-episode-9-le-grand-decryptage-de-nos-assiettes" TargetMode="External"/><Relationship Id="rId5" Type="http://schemas.openxmlformats.org/officeDocument/2006/relationships/hyperlink" Target="https://alan.com/fr-fr/blog/prendre-soin-vous/a/healthier-humanity-podcast-episode-5-dans-les-coulisses-de-notre-systeme-de" TargetMode="External"/><Relationship Id="rId6" Type="http://schemas.openxmlformats.org/officeDocument/2006/relationships/hyperlink" Target="https://alan.com/fr-fr/blog/prendre-soin-vous/a/healthier-humanity-podcast-episode-6-la-therapie-par-le-rire-entre-art-et" TargetMode="External"/><Relationship Id="rId7" Type="http://schemas.openxmlformats.org/officeDocument/2006/relationships/hyperlink" Target="https://alan.com/fr-fr/blog/prendre-soin-vous/a/healthier-humanity-podcast-episode-7-dans-les-coulisses-de-linnovation-me" TargetMode="External"/><Relationship Id="rId8" Type="http://schemas.openxmlformats.org/officeDocument/2006/relationships/hyperlink" Target="https://alan.com/fr-fr/blog/prendre-soin-vous/a/healthier-humanity-podcast-episode-8-quand-arreter-de-fumer-devient-un" TargetMode="External"/><Relationship Id="rId11" Type="http://schemas.openxmlformats.org/officeDocument/2006/relationships/hyperlink" Target="https://alan.com/fr-fr/blog/prendre-soin-vous/a/healthier-humanity-podcast-episode-11-6-lecons-de-vie-dun-maitre-zen-pour" TargetMode="External"/><Relationship Id="rId10" Type="http://schemas.openxmlformats.org/officeDocument/2006/relationships/hyperlink" Target="https://alan.com/fr-fr/blog/prendre-soin-vous/a/healthier-humanity-podcast-episode-10-votre-longevite-se-joue-la-nuit" TargetMode="External"/><Relationship Id="rId13" Type="http://schemas.openxmlformats.org/officeDocument/2006/relationships/hyperlink" Target="https://alan.com/fr-fr/blog/prendre-soin-vous/a/healthier-humanity-teddy-riner-la-science-de-sa-longevite-avec-teddy-riner" TargetMode="External"/><Relationship Id="rId12" Type="http://schemas.openxmlformats.org/officeDocument/2006/relationships/hyperlink" Target="https://alan.com/fr-fr/blog/prendre-soin-vous/a/healthier-humanity-longevite-les-cles-pour-vieillir-en-bonne-sante-avec-le" TargetMode="External"/><Relationship Id="rId15" Type="http://schemas.openxmlformats.org/officeDocument/2006/relationships/hyperlink" Target="https://alan.com/fr-fr/blog/prendre-soin-vous/a/healthier-humanity-les-5-lecons-qui-vont-transformer-votre-vie-olivier-goy" TargetMode="External"/><Relationship Id="rId14" Type="http://schemas.openxmlformats.org/officeDocument/2006/relationships/hyperlink" Target="https://alan.com/fr-fr/blog/prendre-soin-vous/a/healthier-humanity-vie-ou-mort-ce-qui-vous-attend-avec-le-professeur-jean" TargetMode="External"/><Relationship Id="rId17" Type="http://schemas.openxmlformats.org/officeDocument/2006/relationships/hyperlink" Target="https://alan.com/fr-fr/blog/prendre-soin-vous/a/healthier-humanity-microbiote-intestinal-agissez-sur-votre-immunite-votre" TargetMode="External"/><Relationship Id="rId16" Type="http://schemas.openxmlformats.org/officeDocument/2006/relationships/hyperlink" Target="https://alan.com/fr-fr/blog/prendre-soin-vous/a/healthier-humanity-les-3-secrets-dune-gyne-cologue-pour-traverser-la-me" TargetMode="External"/><Relationship Id="rId19" Type="http://schemas.openxmlformats.org/officeDocument/2006/relationships/drawing" Target="../drawings/drawing7.xml"/><Relationship Id="rId18" Type="http://schemas.openxmlformats.org/officeDocument/2006/relationships/hyperlink" Target="https://alan.com/fr-fr/blog/prendre-soin-vous/a/healthier-humanity-endome-triose-5-signaux-dalerte-et-comment-agir-avant-la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13"/>
    <col customWidth="1" min="2" max="2" width="9.38"/>
  </cols>
  <sheetData>
    <row r="1">
      <c r="A1" s="1" t="s">
        <v>0</v>
      </c>
      <c r="B1" s="1" t="s">
        <v>1</v>
      </c>
    </row>
    <row r="2">
      <c r="A2" s="2" t="s">
        <v>2</v>
      </c>
      <c r="B2" s="3">
        <v>46064.0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8.88"/>
    <col customWidth="1" min="3" max="3" width="22.13"/>
  </cols>
  <sheetData>
    <row r="1">
      <c r="A1" s="1" t="s">
        <v>3</v>
      </c>
      <c r="B1" s="1" t="s">
        <v>4</v>
      </c>
      <c r="C1" s="1" t="s">
        <v>5</v>
      </c>
    </row>
    <row r="2">
      <c r="A2" s="4">
        <v>0.0</v>
      </c>
      <c r="B2" s="5">
        <v>0.0</v>
      </c>
      <c r="C2" s="6" t="s">
        <v>6</v>
      </c>
    </row>
    <row r="3">
      <c r="A3" s="5">
        <v>1.0</v>
      </c>
      <c r="B3" s="5">
        <v>1.0</v>
      </c>
      <c r="C3" s="6" t="s">
        <v>7</v>
      </c>
    </row>
    <row r="4">
      <c r="A4" s="5">
        <v>1.0</v>
      </c>
      <c r="B4" s="5">
        <v>2.0</v>
      </c>
      <c r="C4" s="6" t="s">
        <v>8</v>
      </c>
    </row>
    <row r="5">
      <c r="A5" s="5">
        <v>1.0</v>
      </c>
      <c r="B5" s="5">
        <v>3.0</v>
      </c>
      <c r="C5" s="6" t="s">
        <v>9</v>
      </c>
    </row>
    <row r="6">
      <c r="A6" s="5">
        <v>1.0</v>
      </c>
      <c r="B6" s="5">
        <v>4.0</v>
      </c>
      <c r="C6" s="6" t="s">
        <v>10</v>
      </c>
    </row>
    <row r="7">
      <c r="A7" s="5">
        <v>1.0</v>
      </c>
      <c r="B7" s="5">
        <v>5.0</v>
      </c>
      <c r="C7" s="6" t="s">
        <v>11</v>
      </c>
    </row>
    <row r="8">
      <c r="A8" s="5">
        <v>2.0</v>
      </c>
      <c r="B8" s="5">
        <v>6.0</v>
      </c>
      <c r="C8" s="6" t="s">
        <v>12</v>
      </c>
    </row>
    <row r="9">
      <c r="A9" s="5">
        <v>2.0</v>
      </c>
      <c r="B9" s="5">
        <v>7.0</v>
      </c>
      <c r="C9" s="6" t="s">
        <v>13</v>
      </c>
    </row>
    <row r="10">
      <c r="A10" s="5">
        <v>2.0</v>
      </c>
      <c r="B10" s="5">
        <v>8.0</v>
      </c>
      <c r="C10" s="6" t="s">
        <v>14</v>
      </c>
    </row>
    <row r="11">
      <c r="A11" s="5">
        <v>2.0</v>
      </c>
      <c r="B11" s="5">
        <v>9.0</v>
      </c>
      <c r="C11" s="6" t="s">
        <v>15</v>
      </c>
    </row>
    <row r="12">
      <c r="A12" s="5">
        <v>2.0</v>
      </c>
      <c r="B12" s="5">
        <v>10.0</v>
      </c>
      <c r="C12" s="6" t="s">
        <v>16</v>
      </c>
    </row>
    <row r="13">
      <c r="A13" s="5">
        <v>3.0</v>
      </c>
      <c r="B13" s="5">
        <v>11.0</v>
      </c>
      <c r="C13" s="6" t="s">
        <v>17</v>
      </c>
    </row>
    <row r="14">
      <c r="A14" s="5">
        <v>3.0</v>
      </c>
      <c r="B14" s="5">
        <v>12.0</v>
      </c>
      <c r="C14" s="6" t="s">
        <v>18</v>
      </c>
    </row>
    <row r="15">
      <c r="A15" s="5">
        <v>3.0</v>
      </c>
      <c r="B15" s="5">
        <v>13.0</v>
      </c>
      <c r="C15" s="6" t="s">
        <v>19</v>
      </c>
    </row>
    <row r="16">
      <c r="A16" s="5">
        <v>3.0</v>
      </c>
      <c r="B16" s="5">
        <v>14.0</v>
      </c>
      <c r="C16" s="6" t="s">
        <v>20</v>
      </c>
    </row>
    <row r="17">
      <c r="A17" s="5">
        <v>3.0</v>
      </c>
      <c r="B17" s="5">
        <v>15.0</v>
      </c>
      <c r="C17" s="6" t="s">
        <v>21</v>
      </c>
    </row>
    <row r="18">
      <c r="A18" s="5">
        <v>4.0</v>
      </c>
      <c r="B18" s="5">
        <v>16.0</v>
      </c>
      <c r="C18" s="6" t="s">
        <v>22</v>
      </c>
    </row>
    <row r="19">
      <c r="A19" s="5">
        <v>4.0</v>
      </c>
      <c r="B19" s="5">
        <v>17.0</v>
      </c>
      <c r="C19" s="6" t="s">
        <v>23</v>
      </c>
    </row>
    <row r="20">
      <c r="A20" s="5">
        <v>4.0</v>
      </c>
      <c r="B20" s="5">
        <v>18.0</v>
      </c>
      <c r="C20" s="6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6.38"/>
    <col customWidth="1" min="2" max="2" width="11.75"/>
    <col customWidth="1" min="3" max="3" width="16.38"/>
    <col customWidth="1" min="4" max="4" width="13.0"/>
    <col customWidth="1" min="5" max="5" width="17.63"/>
    <col customWidth="1" min="6" max="6" width="22.63"/>
    <col customWidth="1" min="7" max="7" width="12.75"/>
    <col customWidth="1" min="8" max="8" width="10.63"/>
    <col customWidth="1" min="9" max="9" width="13.13"/>
    <col customWidth="1" min="10" max="10" width="12.5"/>
    <col customWidth="1" min="11" max="11" width="16.63"/>
    <col customWidth="1" min="12" max="12" width="11.5"/>
    <col customWidth="1" min="13" max="13" width="15.5"/>
    <col customWidth="1" min="14" max="14" width="19.25"/>
  </cols>
  <sheetData>
    <row r="1">
      <c r="A1" s="1" t="s">
        <v>3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</row>
    <row r="2">
      <c r="A2" s="7">
        <f>IFERROR(__xludf.DUMMYFUNCTION("SORT(UNIQUE(FILTER(Episodes!A2:A1000, Episodes!A2:A1000&lt;&gt;"""")))"),0.0)</f>
        <v>0</v>
      </c>
      <c r="B2" s="8">
        <f>IF($A2="","",SUMIF(Summary_By_Episode!A:A,$A2,Summary_By_Episode!D:D))</f>
        <v>864</v>
      </c>
      <c r="C2" s="8">
        <f>IF($A2="","",SUMIF(Summary_By_Episode!A:A,$A2,Summary_By_Episode!E:E))</f>
        <v>7688</v>
      </c>
      <c r="D2" s="8">
        <f>IF($A2="","",SUMIF(Summary_By_Episode!A:A,$A2,Summary_By_Episode!H:H))</f>
        <v>0</v>
      </c>
      <c r="E2" s="8">
        <f>IF($A2="","",SUMIF(Summary_By_Episode!A:A,$A2,Summary_By_Episode!I:I))</f>
        <v>0</v>
      </c>
      <c r="F2" s="8">
        <f t="shared" ref="F2:F6" si="1">B2+D2</f>
        <v>864</v>
      </c>
      <c r="G2" s="8">
        <f>IF($A2="","",SUMIF(Summary_By_Episode!$A:$A,$A2,Summary_By_Episode!$K:$K))</f>
        <v>88</v>
      </c>
      <c r="H2" s="8">
        <f>IF($A2="","",SUMIF(Summary_By_Episode!A:A,$A2,Summary_By_Episode!M:M))</f>
        <v>665</v>
      </c>
      <c r="I2" s="8">
        <f>IF($A2="","",SUMIF(Summary_By_Episode!A:A,$A2,Summary_By_Episode!O:O))</f>
        <v>294</v>
      </c>
      <c r="J2" s="8">
        <f>IF($A2="","",SUMIF(Summary_By_Episode!A:A,$A2,Summary_By_Episode!P:P))</f>
        <v>0</v>
      </c>
      <c r="K2" s="8">
        <f>IF($A2="","",SUMIF(Summary_By_Episode!A:A,$A2,Summary_By_Episode!R:R))</f>
        <v>0</v>
      </c>
      <c r="L2" s="8">
        <f>IF($A2="","",SUMIF(Summary_By_Episode!A:A,$A2,Summary_By_Episode!S:S))</f>
        <v>0</v>
      </c>
      <c r="M2" s="8">
        <f>IF($A2="","",SUMIF(Summary_By_Episode!A:A,$A2,Summary_By_Episode!T:T))</f>
        <v>0</v>
      </c>
      <c r="N2" s="8">
        <f>IF($A2="","",SUMIF(Summary_By_Episode!A:A,$A2,Summary_By_Episode!U:U))</f>
        <v>0</v>
      </c>
    </row>
    <row r="3">
      <c r="A3" s="7">
        <f>IFERROR(__xludf.DUMMYFUNCTION("""COMPUTED_VALUE"""),1.0)</f>
        <v>1</v>
      </c>
      <c r="B3" s="8">
        <f>IF($A3="","",SUMIF(Summary_By_Episode!A:A,$A3,Summary_By_Episode!D:D))</f>
        <v>63469</v>
      </c>
      <c r="C3" s="8">
        <f>IF($A3="","",SUMIF(Summary_By_Episode!A:A,$A3,Summary_By_Episode!E:E))</f>
        <v>848631</v>
      </c>
      <c r="D3" s="8">
        <f>IF($A3="","",SUMIF(Summary_By_Episode!A:A,$A3,Summary_By_Episode!H:H))</f>
        <v>171265</v>
      </c>
      <c r="E3" s="8">
        <f>IF($A3="","",SUMIF(Summary_By_Episode!A:A,$A3,Summary_By_Episode!I:I))</f>
        <v>243621</v>
      </c>
      <c r="F3" s="8">
        <f t="shared" si="1"/>
        <v>234734</v>
      </c>
      <c r="G3" s="8">
        <f>IF($A3="","",SUMIF(Summary_By_Episode!$A:$A,$A3,Summary_By_Episode!$K:$K))</f>
        <v>2776</v>
      </c>
      <c r="H3" s="8">
        <f>IF($A3="","",SUMIF(Summary_By_Episode!A:A,$A3,Summary_By_Episode!M:M))</f>
        <v>146020</v>
      </c>
      <c r="I3" s="8">
        <f>IF($A3="","",SUMIF(Summary_By_Episode!A:A,$A3,Summary_By_Episode!O:O))</f>
        <v>72150</v>
      </c>
      <c r="J3" s="8">
        <f>IF($A3="","",SUMIF(Summary_By_Episode!A:A,$A3,Summary_By_Episode!P:P))</f>
        <v>2694</v>
      </c>
      <c r="K3" s="8">
        <f>IF($A3="","",SUMIF(Summary_By_Episode!A:A,$A3,Summary_By_Episode!R:R))</f>
        <v>0</v>
      </c>
      <c r="L3" s="8">
        <f>IF($A3="","",SUMIF(Summary_By_Episode!A:A,$A3,Summary_By_Episode!S:S))</f>
        <v>0</v>
      </c>
      <c r="M3" s="8">
        <f>IF($A3="","",SUMIF(Summary_By_Episode!A:A,$A3,Summary_By_Episode!T:T))</f>
        <v>0</v>
      </c>
      <c r="N3" s="8">
        <f>IF($A3="","",SUMIF(Summary_By_Episode!A:A,$A3,Summary_By_Episode!U:U))</f>
        <v>0</v>
      </c>
    </row>
    <row r="4">
      <c r="A4" s="7">
        <f>IFERROR(__xludf.DUMMYFUNCTION("""COMPUTED_VALUE"""),2.0)</f>
        <v>2</v>
      </c>
      <c r="B4" s="8">
        <f>IF($A4="","",SUMIF(Summary_By_Episode!A:A,$A4,Summary_By_Episode!D:D))</f>
        <v>150901</v>
      </c>
      <c r="C4" s="8">
        <f>IF($A4="","",SUMIF(Summary_By_Episode!A:A,$A4,Summary_By_Episode!E:E))</f>
        <v>1898599</v>
      </c>
      <c r="D4" s="8">
        <f>IF($A4="","",SUMIF(Summary_By_Episode!A:A,$A4,Summary_By_Episode!H:H))</f>
        <v>347320</v>
      </c>
      <c r="E4" s="8">
        <f>IF($A4="","",SUMIF(Summary_By_Episode!A:A,$A4,Summary_By_Episode!I:I))</f>
        <v>473107</v>
      </c>
      <c r="F4" s="8">
        <f t="shared" si="1"/>
        <v>498221</v>
      </c>
      <c r="G4" s="8">
        <f>IF($A4="","",SUMIF(Summary_By_Episode!$A:$A,$A4,Summary_By_Episode!$K:$K))</f>
        <v>2798</v>
      </c>
      <c r="H4" s="8">
        <f>IF($A4="","",SUMIF(Summary_By_Episode!A:A,$A4,Summary_By_Episode!M:M))</f>
        <v>54952</v>
      </c>
      <c r="I4" s="8">
        <f>IF($A4="","",SUMIF(Summary_By_Episode!A:A,$A4,Summary_By_Episode!O:O))</f>
        <v>16614</v>
      </c>
      <c r="J4" s="8">
        <f>IF($A4="","",SUMIF(Summary_By_Episode!A:A,$A4,Summary_By_Episode!P:P))</f>
        <v>1524</v>
      </c>
      <c r="K4" s="8">
        <f>IF($A4="","",SUMIF(Summary_By_Episode!A:A,$A4,Summary_By_Episode!R:R))</f>
        <v>0</v>
      </c>
      <c r="L4" s="8">
        <f>IF($A4="","",SUMIF(Summary_By_Episode!A:A,$A4,Summary_By_Episode!S:S))</f>
        <v>0</v>
      </c>
      <c r="M4" s="8">
        <f>IF($A4="","",SUMIF(Summary_By_Episode!A:A,$A4,Summary_By_Episode!T:T))</f>
        <v>0</v>
      </c>
      <c r="N4" s="8">
        <f>IF($A4="","",SUMIF(Summary_By_Episode!A:A,$A4,Summary_By_Episode!U:U))</f>
        <v>0</v>
      </c>
    </row>
    <row r="5">
      <c r="A5" s="7">
        <f>IFERROR(__xludf.DUMMYFUNCTION("""COMPUTED_VALUE"""),3.0)</f>
        <v>3</v>
      </c>
      <c r="B5" s="8">
        <f>IF($A5="","",SUMIF(Summary_By_Episode!A:A,$A5,Summary_By_Episode!D:D))</f>
        <v>188315</v>
      </c>
      <c r="C5" s="8">
        <f>IF($A5="","",SUMIF(Summary_By_Episode!A:A,$A5,Summary_By_Episode!E:E))</f>
        <v>3073636</v>
      </c>
      <c r="D5" s="8">
        <f>IF($A5="","",SUMIF(Summary_By_Episode!A:A,$A5,Summary_By_Episode!H:H))</f>
        <v>32016</v>
      </c>
      <c r="E5" s="8">
        <f>IF($A5="","",SUMIF(Summary_By_Episode!A:A,$A5,Summary_By_Episode!I:I))</f>
        <v>239143</v>
      </c>
      <c r="F5" s="8">
        <f t="shared" si="1"/>
        <v>220331</v>
      </c>
      <c r="G5" s="8">
        <f>IF($A5="","",SUMIF(Summary_By_Episode!$A:$A,$A5,Summary_By_Episode!$K:$K))</f>
        <v>2790</v>
      </c>
      <c r="H5" s="8">
        <f>IF($A5="","",SUMIF(Summary_By_Episode!A:A,$A5,Summary_By_Episode!M:M))</f>
        <v>10529</v>
      </c>
      <c r="I5" s="8">
        <f>IF($A5="","",SUMIF(Summary_By_Episode!A:A,$A5,Summary_By_Episode!O:O))</f>
        <v>14900</v>
      </c>
      <c r="J5" s="8">
        <f>IF($A5="","",SUMIF(Summary_By_Episode!A:A,$A5,Summary_By_Episode!P:P))</f>
        <v>827</v>
      </c>
      <c r="K5" s="8">
        <f>IF($A5="","",SUMIF(Summary_By_Episode!A:A,$A5,Summary_By_Episode!R:R))</f>
        <v>0</v>
      </c>
      <c r="L5" s="8">
        <f>IF($A5="","",SUMIF(Summary_By_Episode!A:A,$A5,Summary_By_Episode!S:S))</f>
        <v>0</v>
      </c>
      <c r="M5" s="8">
        <f>IF($A5="","",SUMIF(Summary_By_Episode!A:A,$A5,Summary_By_Episode!T:T))</f>
        <v>0</v>
      </c>
      <c r="N5" s="8">
        <f>IF($A5="","",SUMIF(Summary_By_Episode!A:A,$A5,Summary_By_Episode!U:U))</f>
        <v>0</v>
      </c>
    </row>
    <row r="6">
      <c r="A6" s="7">
        <f>IFERROR(__xludf.DUMMYFUNCTION("""COMPUTED_VALUE"""),4.0)</f>
        <v>4</v>
      </c>
      <c r="B6" s="8">
        <f>IF($A6="","",SUMIF(Summary_By_Episode!A:A,$A6,Summary_By_Episode!D:D))</f>
        <v>116927</v>
      </c>
      <c r="C6" s="8">
        <f>IF($A6="","",SUMIF(Summary_By_Episode!A:A,$A6,Summary_By_Episode!E:E))</f>
        <v>1818241</v>
      </c>
      <c r="D6" s="8">
        <f>IF($A6="","",SUMIF(Summary_By_Episode!A:A,$A6,Summary_By_Episode!H:H))</f>
        <v>27025</v>
      </c>
      <c r="E6" s="8">
        <f>IF($A6="","",SUMIF(Summary_By_Episode!A:A,$A6,Summary_By_Episode!I:I))</f>
        <v>70628</v>
      </c>
      <c r="F6" s="8">
        <f t="shared" si="1"/>
        <v>143952</v>
      </c>
      <c r="G6" s="8">
        <f>IF($A6="","",SUMIF(Summary_By_Episode!$A:$A,$A6,Summary_By_Episode!$K:$K))</f>
        <v>1361</v>
      </c>
      <c r="H6" s="8">
        <f>IF($A6="","",SUMIF(Summary_By_Episode!A:A,$A6,Summary_By_Episode!M:M))</f>
        <v>5374</v>
      </c>
      <c r="I6" s="8">
        <f>IF($A6="","",SUMIF(Summary_By_Episode!A:A,$A6,Summary_By_Episode!O:O))</f>
        <v>12873</v>
      </c>
      <c r="J6" s="8">
        <f>IF($A6="","",SUMIF(Summary_By_Episode!A:A,$A6,Summary_By_Episode!P:P))</f>
        <v>135</v>
      </c>
      <c r="K6" s="8">
        <f>IF($A6="","",SUMIF(Summary_By_Episode!A:A,$A6,Summary_By_Episode!R:R))</f>
        <v>0</v>
      </c>
      <c r="L6" s="8">
        <f>IF($A6="","",SUMIF(Summary_By_Episode!A:A,$A6,Summary_By_Episode!S:S))</f>
        <v>0</v>
      </c>
      <c r="M6" s="8">
        <f>IF($A6="","",SUMIF(Summary_By_Episode!A:A,$A6,Summary_By_Episode!T:T))</f>
        <v>0</v>
      </c>
      <c r="N6" s="8">
        <f>IF($A6="","",SUMIF(Summary_By_Episode!A:A,$A6,Summary_By_Episode!U:U))</f>
        <v>0</v>
      </c>
    </row>
    <row r="7">
      <c r="B7" s="7" t="str">
        <f>IF($A7="","",SUMIF(Summary_By_Episode!A:A,$A7,Summary_By_Episode!D:D))</f>
        <v/>
      </c>
      <c r="C7" s="7" t="str">
        <f>IF($A7="","",SUMIF(Summary_By_Episode!A:A,$A7,Summary_By_Episode!E:E))</f>
        <v/>
      </c>
      <c r="D7" s="7" t="str">
        <f>IF($A7="","",SUMIF(Summary_By_Episode!A:A,$A7,Summary_By_Episode!H:H))</f>
        <v/>
      </c>
      <c r="E7" s="7" t="str">
        <f>IF($A7="","",SUMIF(Summary_By_Episode!A:A,$A7,Summary_By_Episode!I:I))</f>
        <v/>
      </c>
      <c r="F7" s="7" t="str">
        <f>IF($A7="","",SUMIF(Summary_By_Episode!A:A,$A7,Summary_By_Episode!J:J))</f>
        <v/>
      </c>
      <c r="G7" s="7" t="str">
        <f>IF($A7="","",SUMIF(Summary_By_Episode!A:A,$A7,#REF!))</f>
        <v/>
      </c>
      <c r="H7" s="7" t="str">
        <f>IF($A7="","",SUMIF(Summary_By_Episode!A:A,$A7,Summary_By_Episode!M:M))</f>
        <v/>
      </c>
      <c r="I7" s="7" t="str">
        <f>IF($A7="","",SUMIF(Summary_By_Episode!A:A,$A7,Summary_By_Episode!O:O))</f>
        <v/>
      </c>
      <c r="J7" s="7" t="str">
        <f>IF($A7="","",SUMIF(Summary_By_Episode!A:A,$A7,Summary_By_Episode!P:P))</f>
        <v/>
      </c>
      <c r="K7" s="7" t="str">
        <f>IF($A7="","",SUMIF(Summary_By_Episode!A:A,$A7,Summary_By_Episode!R:R))</f>
        <v/>
      </c>
      <c r="L7" s="7" t="str">
        <f>IF($A7="","",SUMIF(Summary_By_Episode!A:A,$A7,Summary_By_Episode!S:S))</f>
        <v/>
      </c>
      <c r="M7" s="7" t="str">
        <f>IF($A7="","",SUMIF(Summary_By_Episode!A:A,$A7,Summary_By_Episode!T:T))</f>
        <v/>
      </c>
      <c r="N7" s="7" t="str">
        <f>IF($A7="","",SUMIF(Summary_By_Episode!A:A,$A7,Summary_By_Episode!U:U))</f>
        <v/>
      </c>
    </row>
    <row r="8">
      <c r="B8" s="7" t="str">
        <f>IF($A8="","",SUMIF(Summary_By_Episode!A:A,$A8,Summary_By_Episode!D:D))</f>
        <v/>
      </c>
      <c r="C8" s="7" t="str">
        <f>IF($A8="","",SUMIF(Summary_By_Episode!A:A,$A8,Summary_By_Episode!E:E))</f>
        <v/>
      </c>
      <c r="D8" s="7" t="str">
        <f>IF($A8="","",SUMIF(Summary_By_Episode!A:A,$A8,Summary_By_Episode!H:H))</f>
        <v/>
      </c>
      <c r="E8" s="7" t="str">
        <f>IF($A8="","",SUMIF(Summary_By_Episode!A:A,$A8,Summary_By_Episode!I:I))</f>
        <v/>
      </c>
      <c r="F8" s="7" t="str">
        <f>IF($A8="","",SUMIF(Summary_By_Episode!A:A,$A8,Summary_By_Episode!J:J))</f>
        <v/>
      </c>
      <c r="G8" s="7" t="str">
        <f>IF($A8="","",SUMIF(Summary_By_Episode!A:A,$A8,#REF!))</f>
        <v/>
      </c>
      <c r="H8" s="7" t="str">
        <f>IF($A8="","",SUMIF(Summary_By_Episode!A:A,$A8,Summary_By_Episode!M:M))</f>
        <v/>
      </c>
      <c r="I8" s="7" t="str">
        <f>IF($A8="","",SUMIF(Summary_By_Episode!A:A,$A8,Summary_By_Episode!O:O))</f>
        <v/>
      </c>
      <c r="J8" s="7" t="str">
        <f>IF($A8="","",SUMIF(Summary_By_Episode!A:A,$A8,Summary_By_Episode!P:P))</f>
        <v/>
      </c>
      <c r="K8" s="7" t="str">
        <f>IF($A8="","",SUMIF(Summary_By_Episode!A:A,$A8,Summary_By_Episode!R:R))</f>
        <v/>
      </c>
      <c r="L8" s="7" t="str">
        <f>IF($A8="","",SUMIF(Summary_By_Episode!A:A,$A8,Summary_By_Episode!S:S))</f>
        <v/>
      </c>
      <c r="M8" s="7" t="str">
        <f>IF($A8="","",SUMIF(Summary_By_Episode!A:A,$A8,Summary_By_Episode!T:T))</f>
        <v/>
      </c>
      <c r="N8" s="7" t="str">
        <f>IF($A8="","",SUMIF(Summary_By_Episode!A:A,$A8,Summary_By_Episode!U:U))</f>
        <v/>
      </c>
    </row>
    <row r="9">
      <c r="B9" s="7" t="str">
        <f>IF($A9="","",SUMIF(Summary_By_Episode!A:A,$A9,Summary_By_Episode!D:D))</f>
        <v/>
      </c>
      <c r="C9" s="7" t="str">
        <f>IF($A9="","",SUMIF(Summary_By_Episode!A:A,$A9,Summary_By_Episode!E:E))</f>
        <v/>
      </c>
      <c r="D9" s="7" t="str">
        <f>IF($A9="","",SUMIF(Summary_By_Episode!A:A,$A9,Summary_By_Episode!H:H))</f>
        <v/>
      </c>
      <c r="E9" s="7" t="str">
        <f>IF($A9="","",SUMIF(Summary_By_Episode!A:A,$A9,Summary_By_Episode!I:I))</f>
        <v/>
      </c>
      <c r="F9" s="7" t="str">
        <f>IF($A9="","",SUMIF(Summary_By_Episode!A:A,$A9,Summary_By_Episode!J:J))</f>
        <v/>
      </c>
      <c r="G9" s="7" t="str">
        <f>IF($A9="","",SUMIF(Summary_By_Episode!A:A,$A9,#REF!))</f>
        <v/>
      </c>
      <c r="H9" s="7" t="str">
        <f>IF($A9="","",SUMIF(Summary_By_Episode!A:A,$A9,Summary_By_Episode!M:M))</f>
        <v/>
      </c>
      <c r="I9" s="7" t="str">
        <f>IF($A9="","",SUMIF(Summary_By_Episode!A:A,$A9,Summary_By_Episode!O:O))</f>
        <v/>
      </c>
      <c r="J9" s="7" t="str">
        <f>IF($A9="","",SUMIF(Summary_By_Episode!A:A,$A9,Summary_By_Episode!P:P))</f>
        <v/>
      </c>
      <c r="K9" s="7" t="str">
        <f>IF($A9="","",SUMIF(Summary_By_Episode!A:A,$A9,Summary_By_Episode!R:R))</f>
        <v/>
      </c>
      <c r="L9" s="7" t="str">
        <f>IF($A9="","",SUMIF(Summary_By_Episode!A:A,$A9,Summary_By_Episode!S:S))</f>
        <v/>
      </c>
      <c r="M9" s="7" t="str">
        <f>IF($A9="","",SUMIF(Summary_By_Episode!A:A,$A9,Summary_By_Episode!T:T))</f>
        <v/>
      </c>
      <c r="N9" s="7" t="str">
        <f>IF($A9="","",SUMIF(Summary_By_Episode!A:A,$A9,Summary_By_Episode!U:U))</f>
        <v/>
      </c>
    </row>
    <row r="10">
      <c r="B10" s="7" t="str">
        <f>IF($A10="","",SUMIF(Summary_By_Episode!A:A,$A10,Summary_By_Episode!D:D))</f>
        <v/>
      </c>
      <c r="C10" s="7" t="str">
        <f>IF($A10="","",SUMIF(Summary_By_Episode!A:A,$A10,Summary_By_Episode!E:E))</f>
        <v/>
      </c>
      <c r="D10" s="7" t="str">
        <f>IF($A10="","",SUMIF(Summary_By_Episode!A:A,$A10,Summary_By_Episode!H:H))</f>
        <v/>
      </c>
      <c r="E10" s="7" t="str">
        <f>IF($A10="","",SUMIF(Summary_By_Episode!A:A,$A10,Summary_By_Episode!I:I))</f>
        <v/>
      </c>
      <c r="F10" s="7" t="str">
        <f>IF($A10="","",SUMIF(Summary_By_Episode!A:A,$A10,Summary_By_Episode!J:J))</f>
        <v/>
      </c>
      <c r="G10" s="7" t="str">
        <f>IF($A10="","",SUMIF(Summary_By_Episode!A:A,$A10,#REF!))</f>
        <v/>
      </c>
      <c r="H10" s="7" t="str">
        <f>IF($A10="","",SUMIF(Summary_By_Episode!A:A,$A10,Summary_By_Episode!M:M))</f>
        <v/>
      </c>
      <c r="I10" s="7" t="str">
        <f>IF($A10="","",SUMIF(Summary_By_Episode!A:A,$A10,Summary_By_Episode!O:O))</f>
        <v/>
      </c>
      <c r="J10" s="7" t="str">
        <f>IF($A10="","",SUMIF(Summary_By_Episode!A:A,$A10,Summary_By_Episode!P:P))</f>
        <v/>
      </c>
      <c r="K10" s="7" t="str">
        <f>IF($A10="","",SUMIF(Summary_By_Episode!A:A,$A10,Summary_By_Episode!R:R))</f>
        <v/>
      </c>
      <c r="L10" s="7" t="str">
        <f>IF($A10="","",SUMIF(Summary_By_Episode!A:A,$A10,Summary_By_Episode!S:S))</f>
        <v/>
      </c>
      <c r="M10" s="7" t="str">
        <f>IF($A10="","",SUMIF(Summary_By_Episode!A:A,$A10,Summary_By_Episode!T:T))</f>
        <v/>
      </c>
      <c r="N10" s="7" t="str">
        <f>IF($A10="","",SUMIF(Summary_By_Episode!A:A,$A10,Summary_By_Episode!U:U))</f>
        <v/>
      </c>
    </row>
    <row r="11">
      <c r="B11" s="7" t="str">
        <f>IF($A11="","",SUMIF(Summary_By_Episode!A:A,$A11,Summary_By_Episode!D:D))</f>
        <v/>
      </c>
      <c r="C11" s="7" t="str">
        <f>IF($A11="","",SUMIF(Summary_By_Episode!A:A,$A11,Summary_By_Episode!E:E))</f>
        <v/>
      </c>
      <c r="D11" s="7" t="str">
        <f>IF($A11="","",SUMIF(Summary_By_Episode!A:A,$A11,Summary_By_Episode!H:H))</f>
        <v/>
      </c>
      <c r="E11" s="7" t="str">
        <f>IF($A11="","",SUMIF(Summary_By_Episode!A:A,$A11,Summary_By_Episode!I:I))</f>
        <v/>
      </c>
      <c r="F11" s="7" t="str">
        <f>IF($A11="","",SUMIF(Summary_By_Episode!A:A,$A11,Summary_By_Episode!J:J))</f>
        <v/>
      </c>
      <c r="G11" s="7" t="str">
        <f>IF($A11="","",SUMIF(Summary_By_Episode!A:A,$A11,#REF!))</f>
        <v/>
      </c>
      <c r="H11" s="7" t="str">
        <f>IF($A11="","",SUMIF(Summary_By_Episode!A:A,$A11,Summary_By_Episode!M:M))</f>
        <v/>
      </c>
      <c r="I11" s="7" t="str">
        <f>IF($A11="","",SUMIF(Summary_By_Episode!A:A,$A11,Summary_By_Episode!O:O))</f>
        <v/>
      </c>
      <c r="J11" s="7" t="str">
        <f>IF($A11="","",SUMIF(Summary_By_Episode!A:A,$A11,Summary_By_Episode!P:P))</f>
        <v/>
      </c>
      <c r="K11" s="7" t="str">
        <f>IF($A11="","",SUMIF(Summary_By_Episode!A:A,$A11,Summary_By_Episode!R:R))</f>
        <v/>
      </c>
      <c r="L11" s="7" t="str">
        <f>IF($A11="","",SUMIF(Summary_By_Episode!A:A,$A11,Summary_By_Episode!S:S))</f>
        <v/>
      </c>
      <c r="M11" s="7" t="str">
        <f>IF($A11="","",SUMIF(Summary_By_Episode!A:A,$A11,Summary_By_Episode!T:T))</f>
        <v/>
      </c>
      <c r="N11" s="7" t="str">
        <f>IF($A11="","",SUMIF(Summary_By_Episode!A:A,$A11,Summary_By_Episode!U:U))</f>
        <v/>
      </c>
    </row>
    <row r="12">
      <c r="B12" s="7" t="str">
        <f>IF($A12="","",SUMIF(Summary_By_Episode!A:A,$A12,Summary_By_Episode!D:D))</f>
        <v/>
      </c>
      <c r="C12" s="7" t="str">
        <f>IF($A12="","",SUMIF(Summary_By_Episode!A:A,$A12,Summary_By_Episode!E:E))</f>
        <v/>
      </c>
      <c r="D12" s="7" t="str">
        <f>IF($A12="","",SUMIF(Summary_By_Episode!A:A,$A12,Summary_By_Episode!H:H))</f>
        <v/>
      </c>
      <c r="E12" s="7" t="str">
        <f>IF($A12="","",SUMIF(Summary_By_Episode!A:A,$A12,Summary_By_Episode!I:I))</f>
        <v/>
      </c>
      <c r="F12" s="7" t="str">
        <f>IF($A12="","",SUMIF(Summary_By_Episode!A:A,$A12,Summary_By_Episode!J:J))</f>
        <v/>
      </c>
      <c r="G12" s="7" t="str">
        <f>IF($A12="","",SUMIF(Summary_By_Episode!A:A,$A12,#REF!))</f>
        <v/>
      </c>
      <c r="H12" s="7" t="str">
        <f>IF($A12="","",SUMIF(Summary_By_Episode!A:A,$A12,Summary_By_Episode!M:M))</f>
        <v/>
      </c>
      <c r="I12" s="7" t="str">
        <f>IF($A12="","",SUMIF(Summary_By_Episode!A:A,$A12,Summary_By_Episode!O:O))</f>
        <v/>
      </c>
      <c r="J12" s="7" t="str">
        <f>IF($A12="","",SUMIF(Summary_By_Episode!A:A,$A12,Summary_By_Episode!P:P))</f>
        <v/>
      </c>
      <c r="K12" s="7" t="str">
        <f>IF($A12="","",SUMIF(Summary_By_Episode!A:A,$A12,Summary_By_Episode!R:R))</f>
        <v/>
      </c>
      <c r="L12" s="7" t="str">
        <f>IF($A12="","",SUMIF(Summary_By_Episode!A:A,$A12,Summary_By_Episode!S:S))</f>
        <v/>
      </c>
      <c r="M12" s="7" t="str">
        <f>IF($A12="","",SUMIF(Summary_By_Episode!A:A,$A12,Summary_By_Episode!T:T))</f>
        <v/>
      </c>
      <c r="N12" s="7" t="str">
        <f>IF($A12="","",SUMIF(Summary_By_Episode!A:A,$A12,Summary_By_Episode!U:U))</f>
        <v/>
      </c>
    </row>
    <row r="13">
      <c r="B13" s="7" t="str">
        <f>IF($A13="","",SUMIF(Summary_By_Episode!A:A,$A13,Summary_By_Episode!D:D))</f>
        <v/>
      </c>
      <c r="C13" s="7" t="str">
        <f>IF($A13="","",SUMIF(Summary_By_Episode!A:A,$A13,Summary_By_Episode!E:E))</f>
        <v/>
      </c>
      <c r="D13" s="7" t="str">
        <f>IF($A13="","",SUMIF(Summary_By_Episode!A:A,$A13,Summary_By_Episode!H:H))</f>
        <v/>
      </c>
      <c r="E13" s="7" t="str">
        <f>IF($A13="","",SUMIF(Summary_By_Episode!A:A,$A13,Summary_By_Episode!I:I))</f>
        <v/>
      </c>
      <c r="F13" s="7" t="str">
        <f>IF($A13="","",SUMIF(Summary_By_Episode!A:A,$A13,Summary_By_Episode!J:J))</f>
        <v/>
      </c>
      <c r="G13" s="7" t="str">
        <f>IF($A13="","",SUMIF(Summary_By_Episode!A:A,$A13,#REF!))</f>
        <v/>
      </c>
      <c r="H13" s="7" t="str">
        <f>IF($A13="","",SUMIF(Summary_By_Episode!A:A,$A13,Summary_By_Episode!M:M))</f>
        <v/>
      </c>
      <c r="I13" s="7" t="str">
        <f>IF($A13="","",SUMIF(Summary_By_Episode!A:A,$A13,Summary_By_Episode!O:O))</f>
        <v/>
      </c>
      <c r="J13" s="7" t="str">
        <f>IF($A13="","",SUMIF(Summary_By_Episode!A:A,$A13,Summary_By_Episode!P:P))</f>
        <v/>
      </c>
      <c r="K13" s="7" t="str">
        <f>IF($A13="","",SUMIF(Summary_By_Episode!A:A,$A13,Summary_By_Episode!R:R))</f>
        <v/>
      </c>
      <c r="L13" s="7" t="str">
        <f>IF($A13="","",SUMIF(Summary_By_Episode!A:A,$A13,Summary_By_Episode!S:S))</f>
        <v/>
      </c>
      <c r="M13" s="7" t="str">
        <f>IF($A13="","",SUMIF(Summary_By_Episode!A:A,$A13,Summary_By_Episode!T:T))</f>
        <v/>
      </c>
      <c r="N13" s="7" t="str">
        <f>IF($A13="","",SUMIF(Summary_By_Episode!A:A,$A13,Summary_By_Episode!U:U))</f>
        <v/>
      </c>
    </row>
    <row r="14">
      <c r="B14" s="7" t="str">
        <f>IF($A14="","",SUMIF(Summary_By_Episode!A:A,$A14,Summary_By_Episode!D:D))</f>
        <v/>
      </c>
      <c r="C14" s="7" t="str">
        <f>IF($A14="","",SUMIF(Summary_By_Episode!A:A,$A14,Summary_By_Episode!E:E))</f>
        <v/>
      </c>
      <c r="D14" s="7" t="str">
        <f>IF($A14="","",SUMIF(Summary_By_Episode!A:A,$A14,Summary_By_Episode!H:H))</f>
        <v/>
      </c>
      <c r="E14" s="7" t="str">
        <f>IF($A14="","",SUMIF(Summary_By_Episode!A:A,$A14,Summary_By_Episode!I:I))</f>
        <v/>
      </c>
      <c r="F14" s="7" t="str">
        <f>IF($A14="","",SUMIF(Summary_By_Episode!A:A,$A14,Summary_By_Episode!J:J))</f>
        <v/>
      </c>
      <c r="G14" s="7" t="str">
        <f>IF($A14="","",SUMIF(Summary_By_Episode!A:A,$A14,#REF!))</f>
        <v/>
      </c>
      <c r="H14" s="7" t="str">
        <f>IF($A14="","",SUMIF(Summary_By_Episode!A:A,$A14,Summary_By_Episode!M:M))</f>
        <v/>
      </c>
      <c r="I14" s="7" t="str">
        <f>IF($A14="","",SUMIF(Summary_By_Episode!A:A,$A14,Summary_By_Episode!O:O))</f>
        <v/>
      </c>
      <c r="J14" s="7" t="str">
        <f>IF($A14="","",SUMIF(Summary_By_Episode!A:A,$A14,Summary_By_Episode!P:P))</f>
        <v/>
      </c>
      <c r="K14" s="7" t="str">
        <f>IF($A14="","",SUMIF(Summary_By_Episode!A:A,$A14,Summary_By_Episode!R:R))</f>
        <v/>
      </c>
      <c r="L14" s="7" t="str">
        <f>IF($A14="","",SUMIF(Summary_By_Episode!A:A,$A14,Summary_By_Episode!S:S))</f>
        <v/>
      </c>
      <c r="M14" s="7" t="str">
        <f>IF($A14="","",SUMIF(Summary_By_Episode!A:A,$A14,Summary_By_Episode!T:T))</f>
        <v/>
      </c>
      <c r="N14" s="7" t="str">
        <f>IF($A14="","",SUMIF(Summary_By_Episode!A:A,$A14,Summary_By_Episode!U:U))</f>
        <v/>
      </c>
    </row>
    <row r="15">
      <c r="B15" s="7" t="str">
        <f>IF($A15="","",SUMIF(Summary_By_Episode!A:A,$A15,Summary_By_Episode!D:D))</f>
        <v/>
      </c>
      <c r="C15" s="7" t="str">
        <f>IF($A15="","",SUMIF(Summary_By_Episode!A:A,$A15,Summary_By_Episode!E:E))</f>
        <v/>
      </c>
      <c r="D15" s="7" t="str">
        <f>IF($A15="","",SUMIF(Summary_By_Episode!A:A,$A15,Summary_By_Episode!H:H))</f>
        <v/>
      </c>
      <c r="E15" s="7" t="str">
        <f>IF($A15="","",SUMIF(Summary_By_Episode!A:A,$A15,Summary_By_Episode!I:I))</f>
        <v/>
      </c>
      <c r="F15" s="7" t="str">
        <f>IF($A15="","",SUMIF(Summary_By_Episode!A:A,$A15,Summary_By_Episode!J:J))</f>
        <v/>
      </c>
      <c r="G15" s="7" t="str">
        <f>IF($A15="","",SUMIF(Summary_By_Episode!A:A,$A15,#REF!))</f>
        <v/>
      </c>
      <c r="H15" s="7" t="str">
        <f>IF($A15="","",SUMIF(Summary_By_Episode!A:A,$A15,Summary_By_Episode!M:M))</f>
        <v/>
      </c>
      <c r="I15" s="7" t="str">
        <f>IF($A15="","",SUMIF(Summary_By_Episode!A:A,$A15,Summary_By_Episode!O:O))</f>
        <v/>
      </c>
      <c r="J15" s="7" t="str">
        <f>IF($A15="","",SUMIF(Summary_By_Episode!A:A,$A15,Summary_By_Episode!P:P))</f>
        <v/>
      </c>
      <c r="K15" s="7" t="str">
        <f>IF($A15="","",SUMIF(Summary_By_Episode!A:A,$A15,Summary_By_Episode!R:R))</f>
        <v/>
      </c>
      <c r="L15" s="7" t="str">
        <f>IF($A15="","",SUMIF(Summary_By_Episode!A:A,$A15,Summary_By_Episode!S:S))</f>
        <v/>
      </c>
      <c r="M15" s="7" t="str">
        <f>IF($A15="","",SUMIF(Summary_By_Episode!A:A,$A15,Summary_By_Episode!T:T))</f>
        <v/>
      </c>
      <c r="N15" s="7" t="str">
        <f>IF($A15="","",SUMIF(Summary_By_Episode!A:A,$A15,Summary_By_Episode!U:U))</f>
        <v/>
      </c>
    </row>
    <row r="16">
      <c r="B16" s="7" t="str">
        <f>IF($A16="","",SUMIF(Summary_By_Episode!A:A,$A16,Summary_By_Episode!D:D))</f>
        <v/>
      </c>
      <c r="C16" s="7" t="str">
        <f>IF($A16="","",SUMIF(Summary_By_Episode!A:A,$A16,Summary_By_Episode!E:E))</f>
        <v/>
      </c>
      <c r="D16" s="7" t="str">
        <f>IF($A16="","",SUMIF(Summary_By_Episode!A:A,$A16,Summary_By_Episode!H:H))</f>
        <v/>
      </c>
      <c r="E16" s="7" t="str">
        <f>IF($A16="","",SUMIF(Summary_By_Episode!A:A,$A16,Summary_By_Episode!I:I))</f>
        <v/>
      </c>
      <c r="F16" s="7" t="str">
        <f>IF($A16="","",SUMIF(Summary_By_Episode!A:A,$A16,Summary_By_Episode!J:J))</f>
        <v/>
      </c>
      <c r="G16" s="7" t="str">
        <f>IF($A16="","",SUMIF(Summary_By_Episode!A:A,$A16,#REF!))</f>
        <v/>
      </c>
      <c r="H16" s="7" t="str">
        <f>IF($A16="","",SUMIF(Summary_By_Episode!A:A,$A16,Summary_By_Episode!M:M))</f>
        <v/>
      </c>
      <c r="I16" s="7" t="str">
        <f>IF($A16="","",SUMIF(Summary_By_Episode!A:A,$A16,Summary_By_Episode!O:O))</f>
        <v/>
      </c>
      <c r="J16" s="7" t="str">
        <f>IF($A16="","",SUMIF(Summary_By_Episode!A:A,$A16,Summary_By_Episode!P:P))</f>
        <v/>
      </c>
      <c r="K16" s="7" t="str">
        <f>IF($A16="","",SUMIF(Summary_By_Episode!A:A,$A16,Summary_By_Episode!R:R))</f>
        <v/>
      </c>
      <c r="L16" s="7" t="str">
        <f>IF($A16="","",SUMIF(Summary_By_Episode!A:A,$A16,Summary_By_Episode!S:S))</f>
        <v/>
      </c>
      <c r="M16" s="7" t="str">
        <f>IF($A16="","",SUMIF(Summary_By_Episode!A:A,$A16,Summary_By_Episode!T:T))</f>
        <v/>
      </c>
      <c r="N16" s="7" t="str">
        <f>IF($A16="","",SUMIF(Summary_By_Episode!A:A,$A16,Summary_By_Episode!U:U))</f>
        <v/>
      </c>
    </row>
    <row r="17">
      <c r="B17" s="7" t="str">
        <f>IF($A17="","",SUMIF(Summary_By_Episode!A:A,$A17,Summary_By_Episode!D:D))</f>
        <v/>
      </c>
      <c r="C17" s="7" t="str">
        <f>IF($A17="","",SUMIF(Summary_By_Episode!A:A,$A17,Summary_By_Episode!E:E))</f>
        <v/>
      </c>
      <c r="D17" s="7" t="str">
        <f>IF($A17="","",SUMIF(Summary_By_Episode!A:A,$A17,Summary_By_Episode!H:H))</f>
        <v/>
      </c>
      <c r="E17" s="7" t="str">
        <f>IF($A17="","",SUMIF(Summary_By_Episode!A:A,$A17,Summary_By_Episode!I:I))</f>
        <v/>
      </c>
      <c r="F17" s="7" t="str">
        <f>IF($A17="","",SUMIF(Summary_By_Episode!A:A,$A17,Summary_By_Episode!J:J))</f>
        <v/>
      </c>
      <c r="G17" s="7" t="str">
        <f>IF($A17="","",SUMIF(Summary_By_Episode!A:A,$A17,#REF!))</f>
        <v/>
      </c>
      <c r="H17" s="7" t="str">
        <f>IF($A17="","",SUMIF(Summary_By_Episode!A:A,$A17,Summary_By_Episode!M:M))</f>
        <v/>
      </c>
      <c r="I17" s="7" t="str">
        <f>IF($A17="","",SUMIF(Summary_By_Episode!A:A,$A17,Summary_By_Episode!O:O))</f>
        <v/>
      </c>
      <c r="J17" s="7" t="str">
        <f>IF($A17="","",SUMIF(Summary_By_Episode!A:A,$A17,Summary_By_Episode!P:P))</f>
        <v/>
      </c>
      <c r="K17" s="7" t="str">
        <f>IF($A17="","",SUMIF(Summary_By_Episode!A:A,$A17,Summary_By_Episode!R:R))</f>
        <v/>
      </c>
      <c r="L17" s="7" t="str">
        <f>IF($A17="","",SUMIF(Summary_By_Episode!A:A,$A17,Summary_By_Episode!S:S))</f>
        <v/>
      </c>
      <c r="M17" s="7" t="str">
        <f>IF($A17="","",SUMIF(Summary_By_Episode!A:A,$A17,Summary_By_Episode!T:T))</f>
        <v/>
      </c>
      <c r="N17" s="7" t="str">
        <f>IF($A17="","",SUMIF(Summary_By_Episode!A:A,$A17,Summary_By_Episode!U:U))</f>
        <v/>
      </c>
    </row>
    <row r="18">
      <c r="B18" s="7" t="str">
        <f>IF($A18="","",SUMIF(Summary_By_Episode!A:A,$A18,Summary_By_Episode!D:D))</f>
        <v/>
      </c>
      <c r="C18" s="7" t="str">
        <f>IF($A18="","",SUMIF(Summary_By_Episode!A:A,$A18,Summary_By_Episode!E:E))</f>
        <v/>
      </c>
      <c r="D18" s="7" t="str">
        <f>IF($A18="","",SUMIF(Summary_By_Episode!A:A,$A18,Summary_By_Episode!H:H))</f>
        <v/>
      </c>
      <c r="E18" s="7" t="str">
        <f>IF($A18="","",SUMIF(Summary_By_Episode!A:A,$A18,Summary_By_Episode!I:I))</f>
        <v/>
      </c>
      <c r="F18" s="7" t="str">
        <f>IF($A18="","",SUMIF(Summary_By_Episode!A:A,$A18,Summary_By_Episode!J:J))</f>
        <v/>
      </c>
      <c r="G18" s="7" t="str">
        <f>IF($A18="","",SUMIF(Summary_By_Episode!A:A,$A18,#REF!))</f>
        <v/>
      </c>
      <c r="H18" s="7" t="str">
        <f>IF($A18="","",SUMIF(Summary_By_Episode!A:A,$A18,Summary_By_Episode!M:M))</f>
        <v/>
      </c>
      <c r="I18" s="7" t="str">
        <f>IF($A18="","",SUMIF(Summary_By_Episode!A:A,$A18,Summary_By_Episode!O:O))</f>
        <v/>
      </c>
      <c r="J18" s="7" t="str">
        <f>IF($A18="","",SUMIF(Summary_By_Episode!A:A,$A18,Summary_By_Episode!P:P))</f>
        <v/>
      </c>
      <c r="K18" s="7" t="str">
        <f>IF($A18="","",SUMIF(Summary_By_Episode!A:A,$A18,Summary_By_Episode!R:R))</f>
        <v/>
      </c>
      <c r="L18" s="7" t="str">
        <f>IF($A18="","",SUMIF(Summary_By_Episode!A:A,$A18,Summary_By_Episode!S:S))</f>
        <v/>
      </c>
      <c r="M18" s="7" t="str">
        <f>IF($A18="","",SUMIF(Summary_By_Episode!A:A,$A18,Summary_By_Episode!T:T))</f>
        <v/>
      </c>
      <c r="N18" s="7" t="str">
        <f>IF($A18="","",SUMIF(Summary_By_Episode!A:A,$A18,Summary_By_Episode!U:U))</f>
        <v/>
      </c>
    </row>
    <row r="19">
      <c r="B19" s="7" t="str">
        <f>IF($A19="","",SUMIF(Summary_By_Episode!A:A,$A19,Summary_By_Episode!D:D))</f>
        <v/>
      </c>
      <c r="C19" s="7" t="str">
        <f>IF($A19="","",SUMIF(Summary_By_Episode!A:A,$A19,Summary_By_Episode!E:E))</f>
        <v/>
      </c>
      <c r="D19" s="7" t="str">
        <f>IF($A19="","",SUMIF(Summary_By_Episode!A:A,$A19,Summary_By_Episode!H:H))</f>
        <v/>
      </c>
      <c r="E19" s="7" t="str">
        <f>IF($A19="","",SUMIF(Summary_By_Episode!A:A,$A19,Summary_By_Episode!I:I))</f>
        <v/>
      </c>
      <c r="F19" s="7" t="str">
        <f>IF($A19="","",SUMIF(Summary_By_Episode!A:A,$A19,Summary_By_Episode!J:J))</f>
        <v/>
      </c>
      <c r="G19" s="7" t="str">
        <f>IF($A19="","",SUMIF(Summary_By_Episode!A:A,$A19,#REF!))</f>
        <v/>
      </c>
      <c r="H19" s="7" t="str">
        <f>IF($A19="","",SUMIF(Summary_By_Episode!A:A,$A19,Summary_By_Episode!M:M))</f>
        <v/>
      </c>
      <c r="I19" s="7" t="str">
        <f>IF($A19="","",SUMIF(Summary_By_Episode!A:A,$A19,Summary_By_Episode!O:O))</f>
        <v/>
      </c>
      <c r="J19" s="7" t="str">
        <f>IF($A19="","",SUMIF(Summary_By_Episode!A:A,$A19,Summary_By_Episode!P:P))</f>
        <v/>
      </c>
      <c r="K19" s="7" t="str">
        <f>IF($A19="","",SUMIF(Summary_By_Episode!A:A,$A19,Summary_By_Episode!R:R))</f>
        <v/>
      </c>
      <c r="L19" s="7" t="str">
        <f>IF($A19="","",SUMIF(Summary_By_Episode!A:A,$A19,Summary_By_Episode!S:S))</f>
        <v/>
      </c>
      <c r="M19" s="7" t="str">
        <f>IF($A19="","",SUMIF(Summary_By_Episode!A:A,$A19,Summary_By_Episode!T:T))</f>
        <v/>
      </c>
      <c r="N19" s="7" t="str">
        <f>IF($A19="","",SUMIF(Summary_By_Episode!A:A,$A19,Summary_By_Episode!U:U))</f>
        <v/>
      </c>
    </row>
    <row r="20">
      <c r="B20" s="7" t="str">
        <f>IF($A20="","",SUMIF(Summary_By_Episode!A:A,$A20,Summary_By_Episode!D:D))</f>
        <v/>
      </c>
      <c r="C20" s="7" t="str">
        <f>IF($A20="","",SUMIF(Summary_By_Episode!A:A,$A20,Summary_By_Episode!E:E))</f>
        <v/>
      </c>
      <c r="D20" s="7" t="str">
        <f>IF($A20="","",SUMIF(Summary_By_Episode!A:A,$A20,Summary_By_Episode!H:H))</f>
        <v/>
      </c>
      <c r="E20" s="7" t="str">
        <f>IF($A20="","",SUMIF(Summary_By_Episode!A:A,$A20,Summary_By_Episode!I:I))</f>
        <v/>
      </c>
      <c r="F20" s="7" t="str">
        <f>IF($A20="","",SUMIF(Summary_By_Episode!A:A,$A20,Summary_By_Episode!J:J))</f>
        <v/>
      </c>
      <c r="G20" s="7" t="str">
        <f>IF($A20="","",SUMIF(Summary_By_Episode!A:A,$A20,#REF!))</f>
        <v/>
      </c>
      <c r="H20" s="7" t="str">
        <f>IF($A20="","",SUMIF(Summary_By_Episode!A:A,$A20,Summary_By_Episode!M:M))</f>
        <v/>
      </c>
      <c r="I20" s="7" t="str">
        <f>IF($A20="","",SUMIF(Summary_By_Episode!A:A,$A20,Summary_By_Episode!O:O))</f>
        <v/>
      </c>
      <c r="J20" s="7" t="str">
        <f>IF($A20="","",SUMIF(Summary_By_Episode!A:A,$A20,Summary_By_Episode!P:P))</f>
        <v/>
      </c>
      <c r="K20" s="7" t="str">
        <f>IF($A20="","",SUMIF(Summary_By_Episode!A:A,$A20,Summary_By_Episode!R:R))</f>
        <v/>
      </c>
      <c r="L20" s="7" t="str">
        <f>IF($A20="","",SUMIF(Summary_By_Episode!A:A,$A20,Summary_By_Episode!S:S))</f>
        <v/>
      </c>
      <c r="M20" s="7" t="str">
        <f>IF($A20="","",SUMIF(Summary_By_Episode!A:A,$A20,Summary_By_Episode!T:T))</f>
        <v/>
      </c>
      <c r="N20" s="7" t="str">
        <f>IF($A20="","",SUMIF(Summary_By_Episode!A:A,$A20,Summary_By_Episode!U:U))</f>
        <v/>
      </c>
    </row>
    <row r="21">
      <c r="B21" s="7" t="str">
        <f>IF($A21="","",SUMIF(Summary_By_Episode!A:A,$A21,Summary_By_Episode!D:D))</f>
        <v/>
      </c>
      <c r="C21" s="7" t="str">
        <f>IF($A21="","",SUMIF(Summary_By_Episode!A:A,$A21,Summary_By_Episode!E:E))</f>
        <v/>
      </c>
      <c r="D21" s="7" t="str">
        <f>IF($A21="","",SUMIF(Summary_By_Episode!A:A,$A21,Summary_By_Episode!H:H))</f>
        <v/>
      </c>
      <c r="E21" s="7" t="str">
        <f>IF($A21="","",SUMIF(Summary_By_Episode!A:A,$A21,Summary_By_Episode!I:I))</f>
        <v/>
      </c>
      <c r="F21" s="7" t="str">
        <f>IF($A21="","",SUMIF(Summary_By_Episode!A:A,$A21,Summary_By_Episode!J:J))</f>
        <v/>
      </c>
      <c r="G21" s="7" t="str">
        <f>IF($A21="","",SUMIF(Summary_By_Episode!A:A,$A21,#REF!))</f>
        <v/>
      </c>
      <c r="H21" s="7" t="str">
        <f>IF($A21="","",SUMIF(Summary_By_Episode!A:A,$A21,Summary_By_Episode!M:M))</f>
        <v/>
      </c>
      <c r="I21" s="7" t="str">
        <f>IF($A21="","",SUMIF(Summary_By_Episode!A:A,$A21,Summary_By_Episode!O:O))</f>
        <v/>
      </c>
      <c r="J21" s="7" t="str">
        <f>IF($A21="","",SUMIF(Summary_By_Episode!A:A,$A21,Summary_By_Episode!P:P))</f>
        <v/>
      </c>
      <c r="K21" s="7" t="str">
        <f>IF($A21="","",SUMIF(Summary_By_Episode!A:A,$A21,Summary_By_Episode!R:R))</f>
        <v/>
      </c>
      <c r="L21" s="7" t="str">
        <f>IF($A21="","",SUMIF(Summary_By_Episode!A:A,$A21,Summary_By_Episode!S:S))</f>
        <v/>
      </c>
      <c r="M21" s="7" t="str">
        <f>IF($A21="","",SUMIF(Summary_By_Episode!A:A,$A21,Summary_By_Episode!T:T))</f>
        <v/>
      </c>
      <c r="N21" s="7" t="str">
        <f>IF($A21="","",SUMIF(Summary_By_Episode!A:A,$A21,Summary_By_Episode!U:U))</f>
        <v/>
      </c>
    </row>
    <row r="22">
      <c r="B22" s="7" t="str">
        <f>IF($A22="","",SUMIF(Summary_By_Episode!A:A,$A22,Summary_By_Episode!D:D))</f>
        <v/>
      </c>
      <c r="C22" s="7" t="str">
        <f>IF($A22="","",SUMIF(Summary_By_Episode!A:A,$A22,Summary_By_Episode!E:E))</f>
        <v/>
      </c>
      <c r="D22" s="7" t="str">
        <f>IF($A22="","",SUMIF(Summary_By_Episode!A:A,$A22,Summary_By_Episode!H:H))</f>
        <v/>
      </c>
      <c r="E22" s="7" t="str">
        <f>IF($A22="","",SUMIF(Summary_By_Episode!A:A,$A22,Summary_By_Episode!I:I))</f>
        <v/>
      </c>
      <c r="F22" s="7" t="str">
        <f>IF($A22="","",SUMIF(Summary_By_Episode!A:A,$A22,Summary_By_Episode!J:J))</f>
        <v/>
      </c>
      <c r="G22" s="7" t="str">
        <f>IF($A22="","",SUMIF(Summary_By_Episode!A:A,$A22,#REF!))</f>
        <v/>
      </c>
      <c r="H22" s="7" t="str">
        <f>IF($A22="","",SUMIF(Summary_By_Episode!A:A,$A22,Summary_By_Episode!M:M))</f>
        <v/>
      </c>
      <c r="I22" s="7" t="str">
        <f>IF($A22="","",SUMIF(Summary_By_Episode!A:A,$A22,Summary_By_Episode!O:O))</f>
        <v/>
      </c>
      <c r="J22" s="7" t="str">
        <f>IF($A22="","",SUMIF(Summary_By_Episode!A:A,$A22,Summary_By_Episode!P:P))</f>
        <v/>
      </c>
      <c r="K22" s="7" t="str">
        <f>IF($A22="","",SUMIF(Summary_By_Episode!A:A,$A22,Summary_By_Episode!R:R))</f>
        <v/>
      </c>
      <c r="L22" s="7" t="str">
        <f>IF($A22="","",SUMIF(Summary_By_Episode!A:A,$A22,Summary_By_Episode!S:S))</f>
        <v/>
      </c>
      <c r="M22" s="7" t="str">
        <f>IF($A22="","",SUMIF(Summary_By_Episode!A:A,$A22,Summary_By_Episode!T:T))</f>
        <v/>
      </c>
      <c r="N22" s="7" t="str">
        <f>IF($A22="","",SUMIF(Summary_By_Episode!A:A,$A22,Summary_By_Episode!U:U))</f>
        <v/>
      </c>
    </row>
    <row r="23">
      <c r="B23" s="7" t="str">
        <f>IF($A23="","",SUMIF(Summary_By_Episode!A:A,$A23,Summary_By_Episode!D:D))</f>
        <v/>
      </c>
      <c r="C23" s="7" t="str">
        <f>IF($A23="","",SUMIF(Summary_By_Episode!A:A,$A23,Summary_By_Episode!E:E))</f>
        <v/>
      </c>
      <c r="D23" s="7" t="str">
        <f>IF($A23="","",SUMIF(Summary_By_Episode!A:A,$A23,Summary_By_Episode!H:H))</f>
        <v/>
      </c>
      <c r="E23" s="7" t="str">
        <f>IF($A23="","",SUMIF(Summary_By_Episode!A:A,$A23,Summary_By_Episode!I:I))</f>
        <v/>
      </c>
      <c r="F23" s="7" t="str">
        <f>IF($A23="","",SUMIF(Summary_By_Episode!A:A,$A23,Summary_By_Episode!J:J))</f>
        <v/>
      </c>
      <c r="G23" s="7" t="str">
        <f>IF($A23="","",SUMIF(Summary_By_Episode!A:A,$A23,#REF!))</f>
        <v/>
      </c>
      <c r="H23" s="7" t="str">
        <f>IF($A23="","",SUMIF(Summary_By_Episode!A:A,$A23,Summary_By_Episode!M:M))</f>
        <v/>
      </c>
      <c r="I23" s="7" t="str">
        <f>IF($A23="","",SUMIF(Summary_By_Episode!A:A,$A23,Summary_By_Episode!O:O))</f>
        <v/>
      </c>
      <c r="J23" s="7" t="str">
        <f>IF($A23="","",SUMIF(Summary_By_Episode!A:A,$A23,Summary_By_Episode!P:P))</f>
        <v/>
      </c>
      <c r="K23" s="7" t="str">
        <f>IF($A23="","",SUMIF(Summary_By_Episode!A:A,$A23,Summary_By_Episode!R:R))</f>
        <v/>
      </c>
      <c r="L23" s="7" t="str">
        <f>IF($A23="","",SUMIF(Summary_By_Episode!A:A,$A23,Summary_By_Episode!S:S))</f>
        <v/>
      </c>
      <c r="M23" s="7" t="str">
        <f>IF($A23="","",SUMIF(Summary_By_Episode!A:A,$A23,Summary_By_Episode!T:T))</f>
        <v/>
      </c>
      <c r="N23" s="7" t="str">
        <f>IF($A23="","",SUMIF(Summary_By_Episode!A:A,$A23,Summary_By_Episode!U:U))</f>
        <v/>
      </c>
    </row>
    <row r="24">
      <c r="B24" s="7" t="str">
        <f>IF($A24="","",SUMIF(Summary_By_Episode!A:A,$A24,Summary_By_Episode!D:D))</f>
        <v/>
      </c>
      <c r="C24" s="7" t="str">
        <f>IF($A24="","",SUMIF(Summary_By_Episode!A:A,$A24,Summary_By_Episode!E:E))</f>
        <v/>
      </c>
      <c r="D24" s="7" t="str">
        <f>IF($A24="","",SUMIF(Summary_By_Episode!A:A,$A24,Summary_By_Episode!H:H))</f>
        <v/>
      </c>
      <c r="E24" s="7" t="str">
        <f>IF($A24="","",SUMIF(Summary_By_Episode!A:A,$A24,Summary_By_Episode!I:I))</f>
        <v/>
      </c>
      <c r="F24" s="7" t="str">
        <f>IF($A24="","",SUMIF(Summary_By_Episode!A:A,$A24,Summary_By_Episode!J:J))</f>
        <v/>
      </c>
      <c r="G24" s="7" t="str">
        <f>IF($A24="","",SUMIF(Summary_By_Episode!A:A,$A24,#REF!))</f>
        <v/>
      </c>
      <c r="H24" s="7" t="str">
        <f>IF($A24="","",SUMIF(Summary_By_Episode!A:A,$A24,Summary_By_Episode!M:M))</f>
        <v/>
      </c>
      <c r="I24" s="7" t="str">
        <f>IF($A24="","",SUMIF(Summary_By_Episode!A:A,$A24,Summary_By_Episode!O:O))</f>
        <v/>
      </c>
      <c r="J24" s="7" t="str">
        <f>IF($A24="","",SUMIF(Summary_By_Episode!A:A,$A24,Summary_By_Episode!P:P))</f>
        <v/>
      </c>
      <c r="K24" s="7" t="str">
        <f>IF($A24="","",SUMIF(Summary_By_Episode!A:A,$A24,Summary_By_Episode!R:R))</f>
        <v/>
      </c>
      <c r="L24" s="7" t="str">
        <f>IF($A24="","",SUMIF(Summary_By_Episode!A:A,$A24,Summary_By_Episode!S:S))</f>
        <v/>
      </c>
      <c r="M24" s="7" t="str">
        <f>IF($A24="","",SUMIF(Summary_By_Episode!A:A,$A24,Summary_By_Episode!T:T))</f>
        <v/>
      </c>
      <c r="N24" s="7" t="str">
        <f>IF($A24="","",SUMIF(Summary_By_Episode!A:A,$A24,Summary_By_Episode!U:U))</f>
        <v/>
      </c>
    </row>
    <row r="25">
      <c r="B25" s="7" t="str">
        <f>IF($A25="","",SUMIF(Summary_By_Episode!A:A,$A25,Summary_By_Episode!D:D))</f>
        <v/>
      </c>
      <c r="C25" s="7" t="str">
        <f>IF($A25="","",SUMIF(Summary_By_Episode!A:A,$A25,Summary_By_Episode!E:E))</f>
        <v/>
      </c>
      <c r="D25" s="7" t="str">
        <f>IF($A25="","",SUMIF(Summary_By_Episode!A:A,$A25,Summary_By_Episode!H:H))</f>
        <v/>
      </c>
      <c r="E25" s="7" t="str">
        <f>IF($A25="","",SUMIF(Summary_By_Episode!A:A,$A25,Summary_By_Episode!I:I))</f>
        <v/>
      </c>
      <c r="F25" s="7" t="str">
        <f>IF($A25="","",SUMIF(Summary_By_Episode!A:A,$A25,Summary_By_Episode!J:J))</f>
        <v/>
      </c>
      <c r="G25" s="7" t="str">
        <f>IF($A25="","",SUMIF(Summary_By_Episode!A:A,$A25,#REF!))</f>
        <v/>
      </c>
      <c r="H25" s="7" t="str">
        <f>IF($A25="","",SUMIF(Summary_By_Episode!A:A,$A25,Summary_By_Episode!M:M))</f>
        <v/>
      </c>
      <c r="I25" s="7" t="str">
        <f>IF($A25="","",SUMIF(Summary_By_Episode!A:A,$A25,Summary_By_Episode!O:O))</f>
        <v/>
      </c>
      <c r="J25" s="7" t="str">
        <f>IF($A25="","",SUMIF(Summary_By_Episode!A:A,$A25,Summary_By_Episode!P:P))</f>
        <v/>
      </c>
      <c r="K25" s="7" t="str">
        <f>IF($A25="","",SUMIF(Summary_By_Episode!A:A,$A25,Summary_By_Episode!R:R))</f>
        <v/>
      </c>
      <c r="L25" s="7" t="str">
        <f>IF($A25="","",SUMIF(Summary_By_Episode!A:A,$A25,Summary_By_Episode!S:S))</f>
        <v/>
      </c>
      <c r="M25" s="7" t="str">
        <f>IF($A25="","",SUMIF(Summary_By_Episode!A:A,$A25,Summary_By_Episode!T:T))</f>
        <v/>
      </c>
      <c r="N25" s="7" t="str">
        <f>IF($A25="","",SUMIF(Summary_By_Episode!A:A,$A25,Summary_By_Episode!U:U))</f>
        <v/>
      </c>
    </row>
    <row r="26">
      <c r="B26" s="7" t="str">
        <f>IF($A26="","",SUMIF(Summary_By_Episode!A:A,$A26,Summary_By_Episode!D:D))</f>
        <v/>
      </c>
      <c r="C26" s="7" t="str">
        <f>IF($A26="","",SUMIF(Summary_By_Episode!A:A,$A26,Summary_By_Episode!E:E))</f>
        <v/>
      </c>
      <c r="D26" s="7" t="str">
        <f>IF($A26="","",SUMIF(Summary_By_Episode!A:A,$A26,Summary_By_Episode!H:H))</f>
        <v/>
      </c>
      <c r="E26" s="7" t="str">
        <f>IF($A26="","",SUMIF(Summary_By_Episode!A:A,$A26,Summary_By_Episode!I:I))</f>
        <v/>
      </c>
      <c r="F26" s="7" t="str">
        <f>IF($A26="","",SUMIF(Summary_By_Episode!A:A,$A26,Summary_By_Episode!J:J))</f>
        <v/>
      </c>
      <c r="G26" s="7" t="str">
        <f>IF($A26="","",SUMIF(Summary_By_Episode!A:A,$A26,#REF!))</f>
        <v/>
      </c>
      <c r="H26" s="7" t="str">
        <f>IF($A26="","",SUMIF(Summary_By_Episode!A:A,$A26,Summary_By_Episode!M:M))</f>
        <v/>
      </c>
      <c r="I26" s="7" t="str">
        <f>IF($A26="","",SUMIF(Summary_By_Episode!A:A,$A26,Summary_By_Episode!O:O))</f>
        <v/>
      </c>
      <c r="J26" s="7" t="str">
        <f>IF($A26="","",SUMIF(Summary_By_Episode!A:A,$A26,Summary_By_Episode!P:P))</f>
        <v/>
      </c>
      <c r="K26" s="7" t="str">
        <f>IF($A26="","",SUMIF(Summary_By_Episode!A:A,$A26,Summary_By_Episode!R:R))</f>
        <v/>
      </c>
      <c r="L26" s="7" t="str">
        <f>IF($A26="","",SUMIF(Summary_By_Episode!A:A,$A26,Summary_By_Episode!S:S))</f>
        <v/>
      </c>
      <c r="M26" s="7" t="str">
        <f>IF($A26="","",SUMIF(Summary_By_Episode!A:A,$A26,Summary_By_Episode!T:T))</f>
        <v/>
      </c>
      <c r="N26" s="7" t="str">
        <f>IF($A26="","",SUMIF(Summary_By_Episode!A:A,$A26,Summary_By_Episode!U:U))</f>
        <v/>
      </c>
    </row>
    <row r="27">
      <c r="B27" s="7" t="str">
        <f>IF($A27="","",SUMIF(Summary_By_Episode!A:A,$A27,Summary_By_Episode!D:D))</f>
        <v/>
      </c>
      <c r="C27" s="7" t="str">
        <f>IF($A27="","",SUMIF(Summary_By_Episode!A:A,$A27,Summary_By_Episode!E:E))</f>
        <v/>
      </c>
      <c r="D27" s="7" t="str">
        <f>IF($A27="","",SUMIF(Summary_By_Episode!A:A,$A27,Summary_By_Episode!H:H))</f>
        <v/>
      </c>
      <c r="E27" s="7" t="str">
        <f>IF($A27="","",SUMIF(Summary_By_Episode!A:A,$A27,Summary_By_Episode!I:I))</f>
        <v/>
      </c>
      <c r="F27" s="7" t="str">
        <f>IF($A27="","",SUMIF(Summary_By_Episode!A:A,$A27,Summary_By_Episode!J:J))</f>
        <v/>
      </c>
      <c r="G27" s="7" t="str">
        <f>IF($A27="","",SUMIF(Summary_By_Episode!A:A,$A27,#REF!))</f>
        <v/>
      </c>
      <c r="H27" s="7" t="str">
        <f>IF($A27="","",SUMIF(Summary_By_Episode!A:A,$A27,Summary_By_Episode!M:M))</f>
        <v/>
      </c>
      <c r="I27" s="7" t="str">
        <f>IF($A27="","",SUMIF(Summary_By_Episode!A:A,$A27,Summary_By_Episode!O:O))</f>
        <v/>
      </c>
      <c r="J27" s="7" t="str">
        <f>IF($A27="","",SUMIF(Summary_By_Episode!A:A,$A27,Summary_By_Episode!P:P))</f>
        <v/>
      </c>
      <c r="K27" s="7" t="str">
        <f>IF($A27="","",SUMIF(Summary_By_Episode!A:A,$A27,Summary_By_Episode!R:R))</f>
        <v/>
      </c>
      <c r="L27" s="7" t="str">
        <f>IF($A27="","",SUMIF(Summary_By_Episode!A:A,$A27,Summary_By_Episode!S:S))</f>
        <v/>
      </c>
      <c r="M27" s="7" t="str">
        <f>IF($A27="","",SUMIF(Summary_By_Episode!A:A,$A27,Summary_By_Episode!T:T))</f>
        <v/>
      </c>
      <c r="N27" s="7" t="str">
        <f>IF($A27="","",SUMIF(Summary_By_Episode!A:A,$A27,Summary_By_Episode!U:U))</f>
        <v/>
      </c>
    </row>
    <row r="28">
      <c r="B28" s="7" t="str">
        <f>IF($A28="","",SUMIF(Summary_By_Episode!A:A,$A28,Summary_By_Episode!D:D))</f>
        <v/>
      </c>
      <c r="C28" s="7" t="str">
        <f>IF($A28="","",SUMIF(Summary_By_Episode!A:A,$A28,Summary_By_Episode!E:E))</f>
        <v/>
      </c>
      <c r="D28" s="7" t="str">
        <f>IF($A28="","",SUMIF(Summary_By_Episode!A:A,$A28,Summary_By_Episode!H:H))</f>
        <v/>
      </c>
      <c r="E28" s="7" t="str">
        <f>IF($A28="","",SUMIF(Summary_By_Episode!A:A,$A28,Summary_By_Episode!I:I))</f>
        <v/>
      </c>
      <c r="F28" s="7" t="str">
        <f>IF($A28="","",SUMIF(Summary_By_Episode!A:A,$A28,Summary_By_Episode!J:J))</f>
        <v/>
      </c>
      <c r="G28" s="7" t="str">
        <f>IF($A28="","",SUMIF(Summary_By_Episode!A:A,$A28,#REF!))</f>
        <v/>
      </c>
      <c r="H28" s="7" t="str">
        <f>IF($A28="","",SUMIF(Summary_By_Episode!A:A,$A28,Summary_By_Episode!M:M))</f>
        <v/>
      </c>
      <c r="I28" s="7" t="str">
        <f>IF($A28="","",SUMIF(Summary_By_Episode!A:A,$A28,Summary_By_Episode!O:O))</f>
        <v/>
      </c>
      <c r="J28" s="7" t="str">
        <f>IF($A28="","",SUMIF(Summary_By_Episode!A:A,$A28,Summary_By_Episode!P:P))</f>
        <v/>
      </c>
      <c r="K28" s="7" t="str">
        <f>IF($A28="","",SUMIF(Summary_By_Episode!A:A,$A28,Summary_By_Episode!R:R))</f>
        <v/>
      </c>
      <c r="L28" s="7" t="str">
        <f>IF($A28="","",SUMIF(Summary_By_Episode!A:A,$A28,Summary_By_Episode!S:S))</f>
        <v/>
      </c>
      <c r="M28" s="7" t="str">
        <f>IF($A28="","",SUMIF(Summary_By_Episode!A:A,$A28,Summary_By_Episode!T:T))</f>
        <v/>
      </c>
      <c r="N28" s="7" t="str">
        <f>IF($A28="","",SUMIF(Summary_By_Episode!A:A,$A28,Summary_By_Episode!U:U))</f>
        <v/>
      </c>
    </row>
    <row r="29">
      <c r="B29" s="7" t="str">
        <f>IF($A29="","",SUMIF(Summary_By_Episode!A:A,$A29,Summary_By_Episode!D:D))</f>
        <v/>
      </c>
      <c r="C29" s="7" t="str">
        <f>IF($A29="","",SUMIF(Summary_By_Episode!A:A,$A29,Summary_By_Episode!E:E))</f>
        <v/>
      </c>
      <c r="D29" s="7" t="str">
        <f>IF($A29="","",SUMIF(Summary_By_Episode!A:A,$A29,Summary_By_Episode!H:H))</f>
        <v/>
      </c>
      <c r="E29" s="7" t="str">
        <f>IF($A29="","",SUMIF(Summary_By_Episode!A:A,$A29,Summary_By_Episode!I:I))</f>
        <v/>
      </c>
      <c r="F29" s="7" t="str">
        <f>IF($A29="","",SUMIF(Summary_By_Episode!A:A,$A29,Summary_By_Episode!J:J))</f>
        <v/>
      </c>
      <c r="G29" s="7" t="str">
        <f>IF($A29="","",SUMIF(Summary_By_Episode!A:A,$A29,#REF!))</f>
        <v/>
      </c>
      <c r="H29" s="7" t="str">
        <f>IF($A29="","",SUMIF(Summary_By_Episode!A:A,$A29,Summary_By_Episode!M:M))</f>
        <v/>
      </c>
      <c r="I29" s="7" t="str">
        <f>IF($A29="","",SUMIF(Summary_By_Episode!A:A,$A29,Summary_By_Episode!O:O))</f>
        <v/>
      </c>
      <c r="J29" s="7" t="str">
        <f>IF($A29="","",SUMIF(Summary_By_Episode!A:A,$A29,Summary_By_Episode!P:P))</f>
        <v/>
      </c>
      <c r="K29" s="7" t="str">
        <f>IF($A29="","",SUMIF(Summary_By_Episode!A:A,$A29,Summary_By_Episode!R:R))</f>
        <v/>
      </c>
      <c r="L29" s="7" t="str">
        <f>IF($A29="","",SUMIF(Summary_By_Episode!A:A,$A29,Summary_By_Episode!S:S))</f>
        <v/>
      </c>
      <c r="M29" s="7" t="str">
        <f>IF($A29="","",SUMIF(Summary_By_Episode!A:A,$A29,Summary_By_Episode!T:T))</f>
        <v/>
      </c>
      <c r="N29" s="7" t="str">
        <f>IF($A29="","",SUMIF(Summary_By_Episode!A:A,$A29,Summary_By_Episode!U:U))</f>
        <v/>
      </c>
    </row>
    <row r="30">
      <c r="B30" s="7" t="str">
        <f>IF($A30="","",SUMIF(Summary_By_Episode!A:A,$A30,Summary_By_Episode!D:D))</f>
        <v/>
      </c>
      <c r="C30" s="7" t="str">
        <f>IF($A30="","",SUMIF(Summary_By_Episode!A:A,$A30,Summary_By_Episode!E:E))</f>
        <v/>
      </c>
      <c r="D30" s="7" t="str">
        <f>IF($A30="","",SUMIF(Summary_By_Episode!A:A,$A30,Summary_By_Episode!H:H))</f>
        <v/>
      </c>
      <c r="E30" s="7" t="str">
        <f>IF($A30="","",SUMIF(Summary_By_Episode!A:A,$A30,Summary_By_Episode!I:I))</f>
        <v/>
      </c>
      <c r="F30" s="7" t="str">
        <f>IF($A30="","",SUMIF(Summary_By_Episode!A:A,$A30,Summary_By_Episode!J:J))</f>
        <v/>
      </c>
      <c r="G30" s="7" t="str">
        <f>IF($A30="","",SUMIF(Summary_By_Episode!A:A,$A30,#REF!))</f>
        <v/>
      </c>
      <c r="H30" s="7" t="str">
        <f>IF($A30="","",SUMIF(Summary_By_Episode!A:A,$A30,Summary_By_Episode!M:M))</f>
        <v/>
      </c>
      <c r="I30" s="7" t="str">
        <f>IF($A30="","",SUMIF(Summary_By_Episode!A:A,$A30,Summary_By_Episode!O:O))</f>
        <v/>
      </c>
      <c r="J30" s="7" t="str">
        <f>IF($A30="","",SUMIF(Summary_By_Episode!A:A,$A30,Summary_By_Episode!P:P))</f>
        <v/>
      </c>
      <c r="K30" s="7" t="str">
        <f>IF($A30="","",SUMIF(Summary_By_Episode!A:A,$A30,Summary_By_Episode!R:R))</f>
        <v/>
      </c>
      <c r="L30" s="7" t="str">
        <f>IF($A30="","",SUMIF(Summary_By_Episode!A:A,$A30,Summary_By_Episode!S:S))</f>
        <v/>
      </c>
      <c r="M30" s="7" t="str">
        <f>IF($A30="","",SUMIF(Summary_By_Episode!A:A,$A30,Summary_By_Episode!T:T))</f>
        <v/>
      </c>
      <c r="N30" s="7" t="str">
        <f>IF($A30="","",SUMIF(Summary_By_Episode!A:A,$A30,Summary_By_Episode!U:U))</f>
        <v/>
      </c>
    </row>
    <row r="31">
      <c r="B31" s="7" t="str">
        <f>IF($A31="","",SUMIF(Summary_By_Episode!A:A,$A31,Summary_By_Episode!D:D))</f>
        <v/>
      </c>
      <c r="C31" s="7" t="str">
        <f>IF($A31="","",SUMIF(Summary_By_Episode!A:A,$A31,Summary_By_Episode!E:E))</f>
        <v/>
      </c>
      <c r="D31" s="7" t="str">
        <f>IF($A31="","",SUMIF(Summary_By_Episode!A:A,$A31,Summary_By_Episode!H:H))</f>
        <v/>
      </c>
      <c r="E31" s="7" t="str">
        <f>IF($A31="","",SUMIF(Summary_By_Episode!A:A,$A31,Summary_By_Episode!I:I))</f>
        <v/>
      </c>
      <c r="F31" s="7" t="str">
        <f>IF($A31="","",SUMIF(Summary_By_Episode!A:A,$A31,Summary_By_Episode!J:J))</f>
        <v/>
      </c>
      <c r="G31" s="7" t="str">
        <f>IF($A31="","",SUMIF(Summary_By_Episode!A:A,$A31,#REF!))</f>
        <v/>
      </c>
      <c r="H31" s="7" t="str">
        <f>IF($A31="","",SUMIF(Summary_By_Episode!A:A,$A31,Summary_By_Episode!M:M))</f>
        <v/>
      </c>
      <c r="I31" s="7" t="str">
        <f>IF($A31="","",SUMIF(Summary_By_Episode!A:A,$A31,Summary_By_Episode!O:O))</f>
        <v/>
      </c>
      <c r="J31" s="7" t="str">
        <f>IF($A31="","",SUMIF(Summary_By_Episode!A:A,$A31,Summary_By_Episode!P:P))</f>
        <v/>
      </c>
      <c r="K31" s="7" t="str">
        <f>IF($A31="","",SUMIF(Summary_By_Episode!A:A,$A31,Summary_By_Episode!R:R))</f>
        <v/>
      </c>
      <c r="L31" s="7" t="str">
        <f>IF($A31="","",SUMIF(Summary_By_Episode!A:A,$A31,Summary_By_Episode!S:S))</f>
        <v/>
      </c>
      <c r="M31" s="7" t="str">
        <f>IF($A31="","",SUMIF(Summary_By_Episode!A:A,$A31,Summary_By_Episode!T:T))</f>
        <v/>
      </c>
      <c r="N31" s="7" t="str">
        <f>IF($A31="","",SUMIF(Summary_By_Episode!A:A,$A31,Summary_By_Episode!U:U))</f>
        <v/>
      </c>
    </row>
    <row r="32">
      <c r="B32" s="7" t="str">
        <f>IF($A32="","",SUMIF(Summary_By_Episode!A:A,$A32,Summary_By_Episode!D:D))</f>
        <v/>
      </c>
      <c r="C32" s="7" t="str">
        <f>IF($A32="","",SUMIF(Summary_By_Episode!A:A,$A32,Summary_By_Episode!E:E))</f>
        <v/>
      </c>
      <c r="D32" s="7" t="str">
        <f>IF($A32="","",SUMIF(Summary_By_Episode!A:A,$A32,Summary_By_Episode!H:H))</f>
        <v/>
      </c>
      <c r="E32" s="7" t="str">
        <f>IF($A32="","",SUMIF(Summary_By_Episode!A:A,$A32,Summary_By_Episode!I:I))</f>
        <v/>
      </c>
      <c r="F32" s="7" t="str">
        <f>IF($A32="","",SUMIF(Summary_By_Episode!A:A,$A32,Summary_By_Episode!J:J))</f>
        <v/>
      </c>
      <c r="G32" s="7" t="str">
        <f>IF($A32="","",SUMIF(Summary_By_Episode!A:A,$A32,#REF!))</f>
        <v/>
      </c>
      <c r="H32" s="7" t="str">
        <f>IF($A32="","",SUMIF(Summary_By_Episode!A:A,$A32,Summary_By_Episode!M:M))</f>
        <v/>
      </c>
      <c r="I32" s="7" t="str">
        <f>IF($A32="","",SUMIF(Summary_By_Episode!A:A,$A32,Summary_By_Episode!O:O))</f>
        <v/>
      </c>
      <c r="J32" s="7" t="str">
        <f>IF($A32="","",SUMIF(Summary_By_Episode!A:A,$A32,Summary_By_Episode!P:P))</f>
        <v/>
      </c>
      <c r="K32" s="7" t="str">
        <f>IF($A32="","",SUMIF(Summary_By_Episode!A:A,$A32,Summary_By_Episode!R:R))</f>
        <v/>
      </c>
      <c r="L32" s="7" t="str">
        <f>IF($A32="","",SUMIF(Summary_By_Episode!A:A,$A32,Summary_By_Episode!S:S))</f>
        <v/>
      </c>
      <c r="M32" s="7" t="str">
        <f>IF($A32="","",SUMIF(Summary_By_Episode!A:A,$A32,Summary_By_Episode!T:T))</f>
        <v/>
      </c>
      <c r="N32" s="7" t="str">
        <f>IF($A32="","",SUMIF(Summary_By_Episode!A:A,$A32,Summary_By_Episode!U:U))</f>
        <v/>
      </c>
    </row>
    <row r="33">
      <c r="B33" s="7" t="str">
        <f>IF($A33="","",SUMIF(Summary_By_Episode!A:A,$A33,Summary_By_Episode!D:D))</f>
        <v/>
      </c>
      <c r="C33" s="7" t="str">
        <f>IF($A33="","",SUMIF(Summary_By_Episode!A:A,$A33,Summary_By_Episode!E:E))</f>
        <v/>
      </c>
      <c r="D33" s="7" t="str">
        <f>IF($A33="","",SUMIF(Summary_By_Episode!A:A,$A33,Summary_By_Episode!H:H))</f>
        <v/>
      </c>
      <c r="E33" s="7" t="str">
        <f>IF($A33="","",SUMIF(Summary_By_Episode!A:A,$A33,Summary_By_Episode!I:I))</f>
        <v/>
      </c>
      <c r="F33" s="7" t="str">
        <f>IF($A33="","",SUMIF(Summary_By_Episode!A:A,$A33,Summary_By_Episode!J:J))</f>
        <v/>
      </c>
      <c r="G33" s="7" t="str">
        <f>IF($A33="","",SUMIF(Summary_By_Episode!A:A,$A33,#REF!))</f>
        <v/>
      </c>
      <c r="H33" s="7" t="str">
        <f>IF($A33="","",SUMIF(Summary_By_Episode!A:A,$A33,Summary_By_Episode!M:M))</f>
        <v/>
      </c>
      <c r="I33" s="7" t="str">
        <f>IF($A33="","",SUMIF(Summary_By_Episode!A:A,$A33,Summary_By_Episode!O:O))</f>
        <v/>
      </c>
      <c r="J33" s="7" t="str">
        <f>IF($A33="","",SUMIF(Summary_By_Episode!A:A,$A33,Summary_By_Episode!P:P))</f>
        <v/>
      </c>
      <c r="K33" s="7" t="str">
        <f>IF($A33="","",SUMIF(Summary_By_Episode!A:A,$A33,Summary_By_Episode!R:R))</f>
        <v/>
      </c>
      <c r="L33" s="7" t="str">
        <f>IF($A33="","",SUMIF(Summary_By_Episode!A:A,$A33,Summary_By_Episode!S:S))</f>
        <v/>
      </c>
      <c r="M33" s="7" t="str">
        <f>IF($A33="","",SUMIF(Summary_By_Episode!A:A,$A33,Summary_By_Episode!T:T))</f>
        <v/>
      </c>
      <c r="N33" s="7" t="str">
        <f>IF($A33="","",SUMIF(Summary_By_Episode!A:A,$A33,Summary_By_Episode!U:U))</f>
        <v/>
      </c>
    </row>
    <row r="34">
      <c r="B34" s="7" t="str">
        <f>IF($A34="","",SUMIF(Summary_By_Episode!A:A,$A34,Summary_By_Episode!D:D))</f>
        <v/>
      </c>
      <c r="C34" s="7" t="str">
        <f>IF($A34="","",SUMIF(Summary_By_Episode!A:A,$A34,Summary_By_Episode!E:E))</f>
        <v/>
      </c>
      <c r="D34" s="7" t="str">
        <f>IF($A34="","",SUMIF(Summary_By_Episode!A:A,$A34,Summary_By_Episode!H:H))</f>
        <v/>
      </c>
      <c r="E34" s="7" t="str">
        <f>IF($A34="","",SUMIF(Summary_By_Episode!A:A,$A34,Summary_By_Episode!I:I))</f>
        <v/>
      </c>
      <c r="F34" s="7" t="str">
        <f>IF($A34="","",SUMIF(Summary_By_Episode!A:A,$A34,Summary_By_Episode!J:J))</f>
        <v/>
      </c>
      <c r="G34" s="7" t="str">
        <f>IF($A34="","",SUMIF(Summary_By_Episode!A:A,$A34,#REF!))</f>
        <v/>
      </c>
      <c r="H34" s="7" t="str">
        <f>IF($A34="","",SUMIF(Summary_By_Episode!A:A,$A34,Summary_By_Episode!M:M))</f>
        <v/>
      </c>
      <c r="I34" s="7" t="str">
        <f>IF($A34="","",SUMIF(Summary_By_Episode!A:A,$A34,Summary_By_Episode!O:O))</f>
        <v/>
      </c>
      <c r="J34" s="7" t="str">
        <f>IF($A34="","",SUMIF(Summary_By_Episode!A:A,$A34,Summary_By_Episode!P:P))</f>
        <v/>
      </c>
      <c r="K34" s="7" t="str">
        <f>IF($A34="","",SUMIF(Summary_By_Episode!A:A,$A34,Summary_By_Episode!R:R))</f>
        <v/>
      </c>
      <c r="L34" s="7" t="str">
        <f>IF($A34="","",SUMIF(Summary_By_Episode!A:A,$A34,Summary_By_Episode!S:S))</f>
        <v/>
      </c>
      <c r="M34" s="7" t="str">
        <f>IF($A34="","",SUMIF(Summary_By_Episode!A:A,$A34,Summary_By_Episode!T:T))</f>
        <v/>
      </c>
      <c r="N34" s="7" t="str">
        <f>IF($A34="","",SUMIF(Summary_By_Episode!A:A,$A34,Summary_By_Episode!U:U))</f>
        <v/>
      </c>
    </row>
    <row r="35">
      <c r="B35" s="7" t="str">
        <f>IF($A35="","",SUMIF(Summary_By_Episode!A:A,$A35,Summary_By_Episode!D:D))</f>
        <v/>
      </c>
      <c r="C35" s="7" t="str">
        <f>IF($A35="","",SUMIF(Summary_By_Episode!A:A,$A35,Summary_By_Episode!E:E))</f>
        <v/>
      </c>
      <c r="D35" s="7" t="str">
        <f>IF($A35="","",SUMIF(Summary_By_Episode!A:A,$A35,Summary_By_Episode!H:H))</f>
        <v/>
      </c>
      <c r="E35" s="7" t="str">
        <f>IF($A35="","",SUMIF(Summary_By_Episode!A:A,$A35,Summary_By_Episode!I:I))</f>
        <v/>
      </c>
      <c r="F35" s="7" t="str">
        <f>IF($A35="","",SUMIF(Summary_By_Episode!A:A,$A35,Summary_By_Episode!J:J))</f>
        <v/>
      </c>
      <c r="G35" s="7" t="str">
        <f>IF($A35="","",SUMIF(Summary_By_Episode!A:A,$A35,#REF!))</f>
        <v/>
      </c>
      <c r="H35" s="7" t="str">
        <f>IF($A35="","",SUMIF(Summary_By_Episode!A:A,$A35,Summary_By_Episode!M:M))</f>
        <v/>
      </c>
      <c r="I35" s="7" t="str">
        <f>IF($A35="","",SUMIF(Summary_By_Episode!A:A,$A35,Summary_By_Episode!O:O))</f>
        <v/>
      </c>
      <c r="J35" s="7" t="str">
        <f>IF($A35="","",SUMIF(Summary_By_Episode!A:A,$A35,Summary_By_Episode!P:P))</f>
        <v/>
      </c>
      <c r="K35" s="7" t="str">
        <f>IF($A35="","",SUMIF(Summary_By_Episode!A:A,$A35,Summary_By_Episode!R:R))</f>
        <v/>
      </c>
      <c r="L35" s="7" t="str">
        <f>IF($A35="","",SUMIF(Summary_By_Episode!A:A,$A35,Summary_By_Episode!S:S))</f>
        <v/>
      </c>
      <c r="M35" s="7" t="str">
        <f>IF($A35="","",SUMIF(Summary_By_Episode!A:A,$A35,Summary_By_Episode!T:T))</f>
        <v/>
      </c>
      <c r="N35" s="7" t="str">
        <f>IF($A35="","",SUMIF(Summary_By_Episode!A:A,$A35,Summary_By_Episode!U:U))</f>
        <v/>
      </c>
    </row>
    <row r="36">
      <c r="B36" s="7" t="str">
        <f>IF($A36="","",SUMIF(Summary_By_Episode!A:A,$A36,Summary_By_Episode!D:D))</f>
        <v/>
      </c>
      <c r="C36" s="7" t="str">
        <f>IF($A36="","",SUMIF(Summary_By_Episode!A:A,$A36,Summary_By_Episode!E:E))</f>
        <v/>
      </c>
      <c r="D36" s="7" t="str">
        <f>IF($A36="","",SUMIF(Summary_By_Episode!A:A,$A36,Summary_By_Episode!H:H))</f>
        <v/>
      </c>
      <c r="E36" s="7" t="str">
        <f>IF($A36="","",SUMIF(Summary_By_Episode!A:A,$A36,Summary_By_Episode!I:I))</f>
        <v/>
      </c>
      <c r="F36" s="7" t="str">
        <f>IF($A36="","",SUMIF(Summary_By_Episode!A:A,$A36,Summary_By_Episode!J:J))</f>
        <v/>
      </c>
      <c r="G36" s="7" t="str">
        <f>IF($A36="","",SUMIF(Summary_By_Episode!A:A,$A36,#REF!))</f>
        <v/>
      </c>
      <c r="H36" s="7" t="str">
        <f>IF($A36="","",SUMIF(Summary_By_Episode!A:A,$A36,Summary_By_Episode!M:M))</f>
        <v/>
      </c>
      <c r="I36" s="7" t="str">
        <f>IF($A36="","",SUMIF(Summary_By_Episode!A:A,$A36,Summary_By_Episode!O:O))</f>
        <v/>
      </c>
      <c r="J36" s="7" t="str">
        <f>IF($A36="","",SUMIF(Summary_By_Episode!A:A,$A36,Summary_By_Episode!P:P))</f>
        <v/>
      </c>
      <c r="K36" s="7" t="str">
        <f>IF($A36="","",SUMIF(Summary_By_Episode!A:A,$A36,Summary_By_Episode!R:R))</f>
        <v/>
      </c>
      <c r="L36" s="7" t="str">
        <f>IF($A36="","",SUMIF(Summary_By_Episode!A:A,$A36,Summary_By_Episode!S:S))</f>
        <v/>
      </c>
      <c r="M36" s="7" t="str">
        <f>IF($A36="","",SUMIF(Summary_By_Episode!A:A,$A36,Summary_By_Episode!T:T))</f>
        <v/>
      </c>
      <c r="N36" s="7" t="str">
        <f>IF($A36="","",SUMIF(Summary_By_Episode!A:A,$A36,Summary_By_Episode!U:U))</f>
        <v/>
      </c>
    </row>
    <row r="37">
      <c r="B37" s="7" t="str">
        <f>IF($A37="","",SUMIF(Summary_By_Episode!A:A,$A37,Summary_By_Episode!D:D))</f>
        <v/>
      </c>
      <c r="C37" s="7" t="str">
        <f>IF($A37="","",SUMIF(Summary_By_Episode!A:A,$A37,Summary_By_Episode!E:E))</f>
        <v/>
      </c>
      <c r="D37" s="7" t="str">
        <f>IF($A37="","",SUMIF(Summary_By_Episode!A:A,$A37,Summary_By_Episode!H:H))</f>
        <v/>
      </c>
      <c r="E37" s="7" t="str">
        <f>IF($A37="","",SUMIF(Summary_By_Episode!A:A,$A37,Summary_By_Episode!I:I))</f>
        <v/>
      </c>
      <c r="F37" s="7" t="str">
        <f>IF($A37="","",SUMIF(Summary_By_Episode!A:A,$A37,Summary_By_Episode!J:J))</f>
        <v/>
      </c>
      <c r="G37" s="7" t="str">
        <f>IF($A37="","",SUMIF(Summary_By_Episode!A:A,$A37,#REF!))</f>
        <v/>
      </c>
      <c r="H37" s="7" t="str">
        <f>IF($A37="","",SUMIF(Summary_By_Episode!A:A,$A37,Summary_By_Episode!M:M))</f>
        <v/>
      </c>
      <c r="I37" s="7" t="str">
        <f>IF($A37="","",SUMIF(Summary_By_Episode!A:A,$A37,Summary_By_Episode!O:O))</f>
        <v/>
      </c>
      <c r="J37" s="7" t="str">
        <f>IF($A37="","",SUMIF(Summary_By_Episode!A:A,$A37,Summary_By_Episode!P:P))</f>
        <v/>
      </c>
      <c r="K37" s="7" t="str">
        <f>IF($A37="","",SUMIF(Summary_By_Episode!A:A,$A37,Summary_By_Episode!R:R))</f>
        <v/>
      </c>
      <c r="L37" s="7" t="str">
        <f>IF($A37="","",SUMIF(Summary_By_Episode!A:A,$A37,Summary_By_Episode!S:S))</f>
        <v/>
      </c>
      <c r="M37" s="7" t="str">
        <f>IF($A37="","",SUMIF(Summary_By_Episode!A:A,$A37,Summary_By_Episode!T:T))</f>
        <v/>
      </c>
      <c r="N37" s="7" t="str">
        <f>IF($A37="","",SUMIF(Summary_By_Episode!A:A,$A37,Summary_By_Episode!U:U))</f>
        <v/>
      </c>
    </row>
    <row r="38">
      <c r="B38" s="7" t="str">
        <f>IF($A38="","",SUMIF(Summary_By_Episode!A:A,$A38,Summary_By_Episode!D:D))</f>
        <v/>
      </c>
      <c r="C38" s="7" t="str">
        <f>IF($A38="","",SUMIF(Summary_By_Episode!A:A,$A38,Summary_By_Episode!E:E))</f>
        <v/>
      </c>
      <c r="D38" s="7" t="str">
        <f>IF($A38="","",SUMIF(Summary_By_Episode!A:A,$A38,Summary_By_Episode!H:H))</f>
        <v/>
      </c>
      <c r="E38" s="7" t="str">
        <f>IF($A38="","",SUMIF(Summary_By_Episode!A:A,$A38,Summary_By_Episode!I:I))</f>
        <v/>
      </c>
      <c r="F38" s="7" t="str">
        <f>IF($A38="","",SUMIF(Summary_By_Episode!A:A,$A38,Summary_By_Episode!J:J))</f>
        <v/>
      </c>
      <c r="G38" s="7" t="str">
        <f>IF($A38="","",SUMIF(Summary_By_Episode!A:A,$A38,#REF!))</f>
        <v/>
      </c>
      <c r="H38" s="7" t="str">
        <f>IF($A38="","",SUMIF(Summary_By_Episode!A:A,$A38,Summary_By_Episode!M:M))</f>
        <v/>
      </c>
      <c r="I38" s="7" t="str">
        <f>IF($A38="","",SUMIF(Summary_By_Episode!A:A,$A38,Summary_By_Episode!O:O))</f>
        <v/>
      </c>
      <c r="J38" s="7" t="str">
        <f>IF($A38="","",SUMIF(Summary_By_Episode!A:A,$A38,Summary_By_Episode!P:P))</f>
        <v/>
      </c>
      <c r="K38" s="7" t="str">
        <f>IF($A38="","",SUMIF(Summary_By_Episode!A:A,$A38,Summary_By_Episode!R:R))</f>
        <v/>
      </c>
      <c r="L38" s="7" t="str">
        <f>IF($A38="","",SUMIF(Summary_By_Episode!A:A,$A38,Summary_By_Episode!S:S))</f>
        <v/>
      </c>
      <c r="M38" s="7" t="str">
        <f>IF($A38="","",SUMIF(Summary_By_Episode!A:A,$A38,Summary_By_Episode!T:T))</f>
        <v/>
      </c>
      <c r="N38" s="7" t="str">
        <f>IF($A38="","",SUMIF(Summary_By_Episode!A:A,$A38,Summary_By_Episode!U:U))</f>
        <v/>
      </c>
    </row>
    <row r="39">
      <c r="B39" s="7" t="str">
        <f>IF($A39="","",SUMIF(Summary_By_Episode!A:A,$A39,Summary_By_Episode!D:D))</f>
        <v/>
      </c>
      <c r="C39" s="7" t="str">
        <f>IF($A39="","",SUMIF(Summary_By_Episode!A:A,$A39,Summary_By_Episode!E:E))</f>
        <v/>
      </c>
      <c r="D39" s="7" t="str">
        <f>IF($A39="","",SUMIF(Summary_By_Episode!A:A,$A39,Summary_By_Episode!H:H))</f>
        <v/>
      </c>
      <c r="E39" s="7" t="str">
        <f>IF($A39="","",SUMIF(Summary_By_Episode!A:A,$A39,Summary_By_Episode!I:I))</f>
        <v/>
      </c>
      <c r="F39" s="7" t="str">
        <f>IF($A39="","",SUMIF(Summary_By_Episode!A:A,$A39,Summary_By_Episode!J:J))</f>
        <v/>
      </c>
      <c r="G39" s="7" t="str">
        <f>IF($A39="","",SUMIF(Summary_By_Episode!A:A,$A39,#REF!))</f>
        <v/>
      </c>
      <c r="H39" s="7" t="str">
        <f>IF($A39="","",SUMIF(Summary_By_Episode!A:A,$A39,Summary_By_Episode!M:M))</f>
        <v/>
      </c>
      <c r="I39" s="7" t="str">
        <f>IF($A39="","",SUMIF(Summary_By_Episode!A:A,$A39,Summary_By_Episode!O:O))</f>
        <v/>
      </c>
      <c r="J39" s="7" t="str">
        <f>IF($A39="","",SUMIF(Summary_By_Episode!A:A,$A39,Summary_By_Episode!P:P))</f>
        <v/>
      </c>
      <c r="K39" s="7" t="str">
        <f>IF($A39="","",SUMIF(Summary_By_Episode!A:A,$A39,Summary_By_Episode!R:R))</f>
        <v/>
      </c>
      <c r="L39" s="7" t="str">
        <f>IF($A39="","",SUMIF(Summary_By_Episode!A:A,$A39,Summary_By_Episode!S:S))</f>
        <v/>
      </c>
      <c r="M39" s="7" t="str">
        <f>IF($A39="","",SUMIF(Summary_By_Episode!A:A,$A39,Summary_By_Episode!T:T))</f>
        <v/>
      </c>
      <c r="N39" s="7" t="str">
        <f>IF($A39="","",SUMIF(Summary_By_Episode!A:A,$A39,Summary_By_Episode!U:U))</f>
        <v/>
      </c>
    </row>
    <row r="40">
      <c r="B40" s="7" t="str">
        <f>IF($A40="","",SUMIF(Summary_By_Episode!A:A,$A40,Summary_By_Episode!D:D))</f>
        <v/>
      </c>
      <c r="C40" s="7" t="str">
        <f>IF($A40="","",SUMIF(Summary_By_Episode!A:A,$A40,Summary_By_Episode!E:E))</f>
        <v/>
      </c>
      <c r="D40" s="7" t="str">
        <f>IF($A40="","",SUMIF(Summary_By_Episode!A:A,$A40,Summary_By_Episode!H:H))</f>
        <v/>
      </c>
      <c r="E40" s="7" t="str">
        <f>IF($A40="","",SUMIF(Summary_By_Episode!A:A,$A40,Summary_By_Episode!I:I))</f>
        <v/>
      </c>
      <c r="F40" s="7" t="str">
        <f>IF($A40="","",SUMIF(Summary_By_Episode!A:A,$A40,Summary_By_Episode!J:J))</f>
        <v/>
      </c>
      <c r="G40" s="7" t="str">
        <f>IF($A40="","",SUMIF(Summary_By_Episode!A:A,$A40,#REF!))</f>
        <v/>
      </c>
      <c r="H40" s="7" t="str">
        <f>IF($A40="","",SUMIF(Summary_By_Episode!A:A,$A40,Summary_By_Episode!M:M))</f>
        <v/>
      </c>
      <c r="I40" s="7" t="str">
        <f>IF($A40="","",SUMIF(Summary_By_Episode!A:A,$A40,Summary_By_Episode!O:O))</f>
        <v/>
      </c>
      <c r="J40" s="7" t="str">
        <f>IF($A40="","",SUMIF(Summary_By_Episode!A:A,$A40,Summary_By_Episode!P:P))</f>
        <v/>
      </c>
      <c r="K40" s="7" t="str">
        <f>IF($A40="","",SUMIF(Summary_By_Episode!A:A,$A40,Summary_By_Episode!R:R))</f>
        <v/>
      </c>
      <c r="L40" s="7" t="str">
        <f>IF($A40="","",SUMIF(Summary_By_Episode!A:A,$A40,Summary_By_Episode!S:S))</f>
        <v/>
      </c>
      <c r="M40" s="7" t="str">
        <f>IF($A40="","",SUMIF(Summary_By_Episode!A:A,$A40,Summary_By_Episode!T:T))</f>
        <v/>
      </c>
      <c r="N40" s="7" t="str">
        <f>IF($A40="","",SUMIF(Summary_By_Episode!A:A,$A40,Summary_By_Episode!U:U))</f>
        <v/>
      </c>
    </row>
    <row r="41">
      <c r="B41" s="7" t="str">
        <f>IF($A41="","",SUMIF(Summary_By_Episode!A:A,$A41,Summary_By_Episode!D:D))</f>
        <v/>
      </c>
      <c r="C41" s="7" t="str">
        <f>IF($A41="","",SUMIF(Summary_By_Episode!A:A,$A41,Summary_By_Episode!E:E))</f>
        <v/>
      </c>
      <c r="D41" s="7" t="str">
        <f>IF($A41="","",SUMIF(Summary_By_Episode!A:A,$A41,Summary_By_Episode!H:H))</f>
        <v/>
      </c>
      <c r="E41" s="7" t="str">
        <f>IF($A41="","",SUMIF(Summary_By_Episode!A:A,$A41,Summary_By_Episode!I:I))</f>
        <v/>
      </c>
      <c r="F41" s="7" t="str">
        <f>IF($A41="","",SUMIF(Summary_By_Episode!A:A,$A41,Summary_By_Episode!J:J))</f>
        <v/>
      </c>
      <c r="G41" s="7" t="str">
        <f>IF($A41="","",SUMIF(Summary_By_Episode!A:A,$A41,#REF!))</f>
        <v/>
      </c>
      <c r="H41" s="7" t="str">
        <f>IF($A41="","",SUMIF(Summary_By_Episode!A:A,$A41,Summary_By_Episode!M:M))</f>
        <v/>
      </c>
      <c r="I41" s="7" t="str">
        <f>IF($A41="","",SUMIF(Summary_By_Episode!A:A,$A41,Summary_By_Episode!O:O))</f>
        <v/>
      </c>
      <c r="J41" s="7" t="str">
        <f>IF($A41="","",SUMIF(Summary_By_Episode!A:A,$A41,Summary_By_Episode!P:P))</f>
        <v/>
      </c>
      <c r="K41" s="7" t="str">
        <f>IF($A41="","",SUMIF(Summary_By_Episode!A:A,$A41,Summary_By_Episode!R:R))</f>
        <v/>
      </c>
      <c r="L41" s="7" t="str">
        <f>IF($A41="","",SUMIF(Summary_By_Episode!A:A,$A41,Summary_By_Episode!S:S))</f>
        <v/>
      </c>
      <c r="M41" s="7" t="str">
        <f>IF($A41="","",SUMIF(Summary_By_Episode!A:A,$A41,Summary_By_Episode!T:T))</f>
        <v/>
      </c>
      <c r="N41" s="7" t="str">
        <f>IF($A41="","",SUMIF(Summary_By_Episode!A:A,$A41,Summary_By_Episode!U:U))</f>
        <v/>
      </c>
    </row>
    <row r="42">
      <c r="B42" s="7" t="str">
        <f>IF($A42="","",SUMIF(Summary_By_Episode!A:A,$A42,Summary_By_Episode!D:D))</f>
        <v/>
      </c>
      <c r="C42" s="7" t="str">
        <f>IF($A42="","",SUMIF(Summary_By_Episode!A:A,$A42,Summary_By_Episode!E:E))</f>
        <v/>
      </c>
      <c r="D42" s="7" t="str">
        <f>IF($A42="","",SUMIF(Summary_By_Episode!A:A,$A42,Summary_By_Episode!H:H))</f>
        <v/>
      </c>
      <c r="E42" s="7" t="str">
        <f>IF($A42="","",SUMIF(Summary_By_Episode!A:A,$A42,Summary_By_Episode!I:I))</f>
        <v/>
      </c>
      <c r="F42" s="7" t="str">
        <f>IF($A42="","",SUMIF(Summary_By_Episode!A:A,$A42,Summary_By_Episode!J:J))</f>
        <v/>
      </c>
      <c r="G42" s="7" t="str">
        <f>IF($A42="","",SUMIF(Summary_By_Episode!A:A,$A42,#REF!))</f>
        <v/>
      </c>
      <c r="H42" s="7" t="str">
        <f>IF($A42="","",SUMIF(Summary_By_Episode!A:A,$A42,Summary_By_Episode!M:M))</f>
        <v/>
      </c>
      <c r="I42" s="7" t="str">
        <f>IF($A42="","",SUMIF(Summary_By_Episode!A:A,$A42,Summary_By_Episode!O:O))</f>
        <v/>
      </c>
      <c r="J42" s="7" t="str">
        <f>IF($A42="","",SUMIF(Summary_By_Episode!A:A,$A42,Summary_By_Episode!P:P))</f>
        <v/>
      </c>
      <c r="K42" s="7" t="str">
        <f>IF($A42="","",SUMIF(Summary_By_Episode!A:A,$A42,Summary_By_Episode!R:R))</f>
        <v/>
      </c>
      <c r="L42" s="7" t="str">
        <f>IF($A42="","",SUMIF(Summary_By_Episode!A:A,$A42,Summary_By_Episode!S:S))</f>
        <v/>
      </c>
      <c r="M42" s="7" t="str">
        <f>IF($A42="","",SUMIF(Summary_By_Episode!A:A,$A42,Summary_By_Episode!T:T))</f>
        <v/>
      </c>
      <c r="N42" s="7" t="str">
        <f>IF($A42="","",SUMIF(Summary_By_Episode!A:A,$A42,Summary_By_Episode!U:U))</f>
        <v/>
      </c>
    </row>
    <row r="43">
      <c r="B43" s="7" t="str">
        <f>IF($A43="","",SUMIF(Summary_By_Episode!A:A,$A43,Summary_By_Episode!D:D))</f>
        <v/>
      </c>
      <c r="C43" s="7" t="str">
        <f>IF($A43="","",SUMIF(Summary_By_Episode!A:A,$A43,Summary_By_Episode!E:E))</f>
        <v/>
      </c>
      <c r="D43" s="7" t="str">
        <f>IF($A43="","",SUMIF(Summary_By_Episode!A:A,$A43,Summary_By_Episode!H:H))</f>
        <v/>
      </c>
      <c r="E43" s="7" t="str">
        <f>IF($A43="","",SUMIF(Summary_By_Episode!A:A,$A43,Summary_By_Episode!I:I))</f>
        <v/>
      </c>
      <c r="F43" s="7" t="str">
        <f>IF($A43="","",SUMIF(Summary_By_Episode!A:A,$A43,Summary_By_Episode!J:J))</f>
        <v/>
      </c>
      <c r="G43" s="7" t="str">
        <f>IF($A43="","",SUMIF(Summary_By_Episode!A:A,$A43,#REF!))</f>
        <v/>
      </c>
      <c r="H43" s="7" t="str">
        <f>IF($A43="","",SUMIF(Summary_By_Episode!A:A,$A43,Summary_By_Episode!M:M))</f>
        <v/>
      </c>
      <c r="I43" s="7" t="str">
        <f>IF($A43="","",SUMIF(Summary_By_Episode!A:A,$A43,Summary_By_Episode!O:O))</f>
        <v/>
      </c>
      <c r="J43" s="7" t="str">
        <f>IF($A43="","",SUMIF(Summary_By_Episode!A:A,$A43,Summary_By_Episode!P:P))</f>
        <v/>
      </c>
      <c r="K43" s="7" t="str">
        <f>IF($A43="","",SUMIF(Summary_By_Episode!A:A,$A43,Summary_By_Episode!R:R))</f>
        <v/>
      </c>
      <c r="L43" s="7" t="str">
        <f>IF($A43="","",SUMIF(Summary_By_Episode!A:A,$A43,Summary_By_Episode!S:S))</f>
        <v/>
      </c>
      <c r="M43" s="7" t="str">
        <f>IF($A43="","",SUMIF(Summary_By_Episode!A:A,$A43,Summary_By_Episode!T:T))</f>
        <v/>
      </c>
      <c r="N43" s="7" t="str">
        <f>IF($A43="","",SUMIF(Summary_By_Episode!A:A,$A43,Summary_By_Episode!U:U))</f>
        <v/>
      </c>
    </row>
    <row r="44">
      <c r="B44" s="7" t="str">
        <f>IF($A44="","",SUMIF(Summary_By_Episode!A:A,$A44,Summary_By_Episode!D:D))</f>
        <v/>
      </c>
      <c r="C44" s="7" t="str">
        <f>IF($A44="","",SUMIF(Summary_By_Episode!A:A,$A44,Summary_By_Episode!E:E))</f>
        <v/>
      </c>
      <c r="D44" s="7" t="str">
        <f>IF($A44="","",SUMIF(Summary_By_Episode!A:A,$A44,Summary_By_Episode!H:H))</f>
        <v/>
      </c>
      <c r="E44" s="7" t="str">
        <f>IF($A44="","",SUMIF(Summary_By_Episode!A:A,$A44,Summary_By_Episode!I:I))</f>
        <v/>
      </c>
      <c r="F44" s="7" t="str">
        <f>IF($A44="","",SUMIF(Summary_By_Episode!A:A,$A44,Summary_By_Episode!J:J))</f>
        <v/>
      </c>
      <c r="G44" s="7" t="str">
        <f>IF($A44="","",SUMIF(Summary_By_Episode!A:A,$A44,#REF!))</f>
        <v/>
      </c>
      <c r="H44" s="7" t="str">
        <f>IF($A44="","",SUMIF(Summary_By_Episode!A:A,$A44,Summary_By_Episode!M:M))</f>
        <v/>
      </c>
      <c r="I44" s="7" t="str">
        <f>IF($A44="","",SUMIF(Summary_By_Episode!A:A,$A44,Summary_By_Episode!O:O))</f>
        <v/>
      </c>
      <c r="J44" s="7" t="str">
        <f>IF($A44="","",SUMIF(Summary_By_Episode!A:A,$A44,Summary_By_Episode!P:P))</f>
        <v/>
      </c>
      <c r="K44" s="7" t="str">
        <f>IF($A44="","",SUMIF(Summary_By_Episode!A:A,$A44,Summary_By_Episode!R:R))</f>
        <v/>
      </c>
      <c r="L44" s="7" t="str">
        <f>IF($A44="","",SUMIF(Summary_By_Episode!A:A,$A44,Summary_By_Episode!S:S))</f>
        <v/>
      </c>
      <c r="M44" s="7" t="str">
        <f>IF($A44="","",SUMIF(Summary_By_Episode!A:A,$A44,Summary_By_Episode!T:T))</f>
        <v/>
      </c>
      <c r="N44" s="7" t="str">
        <f>IF($A44="","",SUMIF(Summary_By_Episode!A:A,$A44,Summary_By_Episode!U:U))</f>
        <v/>
      </c>
    </row>
    <row r="45">
      <c r="B45" s="7" t="str">
        <f>IF($A45="","",SUMIF(Summary_By_Episode!A:A,$A45,Summary_By_Episode!D:D))</f>
        <v/>
      </c>
      <c r="C45" s="7" t="str">
        <f>IF($A45="","",SUMIF(Summary_By_Episode!A:A,$A45,Summary_By_Episode!E:E))</f>
        <v/>
      </c>
      <c r="D45" s="7" t="str">
        <f>IF($A45="","",SUMIF(Summary_By_Episode!A:A,$A45,Summary_By_Episode!H:H))</f>
        <v/>
      </c>
      <c r="E45" s="7" t="str">
        <f>IF($A45="","",SUMIF(Summary_By_Episode!A:A,$A45,Summary_By_Episode!I:I))</f>
        <v/>
      </c>
      <c r="F45" s="7" t="str">
        <f>IF($A45="","",SUMIF(Summary_By_Episode!A:A,$A45,Summary_By_Episode!J:J))</f>
        <v/>
      </c>
      <c r="G45" s="7" t="str">
        <f>IF($A45="","",SUMIF(Summary_By_Episode!A:A,$A45,#REF!))</f>
        <v/>
      </c>
      <c r="H45" s="7" t="str">
        <f>IF($A45="","",SUMIF(Summary_By_Episode!A:A,$A45,Summary_By_Episode!M:M))</f>
        <v/>
      </c>
      <c r="I45" s="7" t="str">
        <f>IF($A45="","",SUMIF(Summary_By_Episode!A:A,$A45,Summary_By_Episode!O:O))</f>
        <v/>
      </c>
      <c r="J45" s="7" t="str">
        <f>IF($A45="","",SUMIF(Summary_By_Episode!A:A,$A45,Summary_By_Episode!P:P))</f>
        <v/>
      </c>
      <c r="K45" s="7" t="str">
        <f>IF($A45="","",SUMIF(Summary_By_Episode!A:A,$A45,Summary_By_Episode!R:R))</f>
        <v/>
      </c>
      <c r="L45" s="7" t="str">
        <f>IF($A45="","",SUMIF(Summary_By_Episode!A:A,$A45,Summary_By_Episode!S:S))</f>
        <v/>
      </c>
      <c r="M45" s="7" t="str">
        <f>IF($A45="","",SUMIF(Summary_By_Episode!A:A,$A45,Summary_By_Episode!T:T))</f>
        <v/>
      </c>
      <c r="N45" s="7" t="str">
        <f>IF($A45="","",SUMIF(Summary_By_Episode!A:A,$A45,Summary_By_Episode!U:U))</f>
        <v/>
      </c>
    </row>
    <row r="46">
      <c r="B46" s="7" t="str">
        <f>IF($A46="","",SUMIF(Summary_By_Episode!A:A,$A46,Summary_By_Episode!D:D))</f>
        <v/>
      </c>
      <c r="C46" s="7" t="str">
        <f>IF($A46="","",SUMIF(Summary_By_Episode!A:A,$A46,Summary_By_Episode!E:E))</f>
        <v/>
      </c>
      <c r="D46" s="7" t="str">
        <f>IF($A46="","",SUMIF(Summary_By_Episode!A:A,$A46,Summary_By_Episode!H:H))</f>
        <v/>
      </c>
      <c r="E46" s="7" t="str">
        <f>IF($A46="","",SUMIF(Summary_By_Episode!A:A,$A46,Summary_By_Episode!I:I))</f>
        <v/>
      </c>
      <c r="F46" s="7" t="str">
        <f>IF($A46="","",SUMIF(Summary_By_Episode!A:A,$A46,Summary_By_Episode!J:J))</f>
        <v/>
      </c>
      <c r="G46" s="7" t="str">
        <f>IF($A46="","",SUMIF(Summary_By_Episode!A:A,$A46,#REF!))</f>
        <v/>
      </c>
      <c r="H46" s="7" t="str">
        <f>IF($A46="","",SUMIF(Summary_By_Episode!A:A,$A46,Summary_By_Episode!M:M))</f>
        <v/>
      </c>
      <c r="I46" s="7" t="str">
        <f>IF($A46="","",SUMIF(Summary_By_Episode!A:A,$A46,Summary_By_Episode!O:O))</f>
        <v/>
      </c>
      <c r="J46" s="7" t="str">
        <f>IF($A46="","",SUMIF(Summary_By_Episode!A:A,$A46,Summary_By_Episode!P:P))</f>
        <v/>
      </c>
      <c r="K46" s="7" t="str">
        <f>IF($A46="","",SUMIF(Summary_By_Episode!A:A,$A46,Summary_By_Episode!R:R))</f>
        <v/>
      </c>
      <c r="L46" s="7" t="str">
        <f>IF($A46="","",SUMIF(Summary_By_Episode!A:A,$A46,Summary_By_Episode!S:S))</f>
        <v/>
      </c>
      <c r="M46" s="7" t="str">
        <f>IF($A46="","",SUMIF(Summary_By_Episode!A:A,$A46,Summary_By_Episode!T:T))</f>
        <v/>
      </c>
      <c r="N46" s="7" t="str">
        <f>IF($A46="","",SUMIF(Summary_By_Episode!A:A,$A46,Summary_By_Episode!U:U))</f>
        <v/>
      </c>
    </row>
    <row r="47">
      <c r="B47" s="7" t="str">
        <f>IF($A47="","",SUMIF(Summary_By_Episode!A:A,$A47,Summary_By_Episode!D:D))</f>
        <v/>
      </c>
      <c r="C47" s="7" t="str">
        <f>IF($A47="","",SUMIF(Summary_By_Episode!A:A,$A47,Summary_By_Episode!E:E))</f>
        <v/>
      </c>
      <c r="D47" s="7" t="str">
        <f>IF($A47="","",SUMIF(Summary_By_Episode!A:A,$A47,Summary_By_Episode!H:H))</f>
        <v/>
      </c>
      <c r="E47" s="7" t="str">
        <f>IF($A47="","",SUMIF(Summary_By_Episode!A:A,$A47,Summary_By_Episode!I:I))</f>
        <v/>
      </c>
      <c r="F47" s="7" t="str">
        <f>IF($A47="","",SUMIF(Summary_By_Episode!A:A,$A47,Summary_By_Episode!J:J))</f>
        <v/>
      </c>
      <c r="G47" s="7" t="str">
        <f>IF($A47="","",SUMIF(Summary_By_Episode!A:A,$A47,#REF!))</f>
        <v/>
      </c>
      <c r="H47" s="7" t="str">
        <f>IF($A47="","",SUMIF(Summary_By_Episode!A:A,$A47,Summary_By_Episode!M:M))</f>
        <v/>
      </c>
      <c r="I47" s="7" t="str">
        <f>IF($A47="","",SUMIF(Summary_By_Episode!A:A,$A47,Summary_By_Episode!O:O))</f>
        <v/>
      </c>
      <c r="J47" s="7" t="str">
        <f>IF($A47="","",SUMIF(Summary_By_Episode!A:A,$A47,Summary_By_Episode!P:P))</f>
        <v/>
      </c>
      <c r="K47" s="7" t="str">
        <f>IF($A47="","",SUMIF(Summary_By_Episode!A:A,$A47,Summary_By_Episode!R:R))</f>
        <v/>
      </c>
      <c r="L47" s="7" t="str">
        <f>IF($A47="","",SUMIF(Summary_By_Episode!A:A,$A47,Summary_By_Episode!S:S))</f>
        <v/>
      </c>
      <c r="M47" s="7" t="str">
        <f>IF($A47="","",SUMIF(Summary_By_Episode!A:A,$A47,Summary_By_Episode!T:T))</f>
        <v/>
      </c>
      <c r="N47" s="7" t="str">
        <f>IF($A47="","",SUMIF(Summary_By_Episode!A:A,$A47,Summary_By_Episode!U:U))</f>
        <v/>
      </c>
    </row>
    <row r="48">
      <c r="B48" s="7" t="str">
        <f>IF($A48="","",SUMIF(Summary_By_Episode!A:A,$A48,Summary_By_Episode!D:D))</f>
        <v/>
      </c>
      <c r="C48" s="7" t="str">
        <f>IF($A48="","",SUMIF(Summary_By_Episode!A:A,$A48,Summary_By_Episode!E:E))</f>
        <v/>
      </c>
      <c r="D48" s="7" t="str">
        <f>IF($A48="","",SUMIF(Summary_By_Episode!A:A,$A48,Summary_By_Episode!H:H))</f>
        <v/>
      </c>
      <c r="E48" s="7" t="str">
        <f>IF($A48="","",SUMIF(Summary_By_Episode!A:A,$A48,Summary_By_Episode!I:I))</f>
        <v/>
      </c>
      <c r="F48" s="7" t="str">
        <f>IF($A48="","",SUMIF(Summary_By_Episode!A:A,$A48,Summary_By_Episode!J:J))</f>
        <v/>
      </c>
      <c r="G48" s="7" t="str">
        <f>IF($A48="","",SUMIF(Summary_By_Episode!A:A,$A48,#REF!))</f>
        <v/>
      </c>
      <c r="H48" s="7" t="str">
        <f>IF($A48="","",SUMIF(Summary_By_Episode!A:A,$A48,Summary_By_Episode!M:M))</f>
        <v/>
      </c>
      <c r="I48" s="7" t="str">
        <f>IF($A48="","",SUMIF(Summary_By_Episode!A:A,$A48,Summary_By_Episode!O:O))</f>
        <v/>
      </c>
      <c r="J48" s="7" t="str">
        <f>IF($A48="","",SUMIF(Summary_By_Episode!A:A,$A48,Summary_By_Episode!P:P))</f>
        <v/>
      </c>
      <c r="K48" s="7" t="str">
        <f>IF($A48="","",SUMIF(Summary_By_Episode!A:A,$A48,Summary_By_Episode!R:R))</f>
        <v/>
      </c>
      <c r="L48" s="7" t="str">
        <f>IF($A48="","",SUMIF(Summary_By_Episode!A:A,$A48,Summary_By_Episode!S:S))</f>
        <v/>
      </c>
      <c r="M48" s="7" t="str">
        <f>IF($A48="","",SUMIF(Summary_By_Episode!A:A,$A48,Summary_By_Episode!T:T))</f>
        <v/>
      </c>
      <c r="N48" s="7" t="str">
        <f>IF($A48="","",SUMIF(Summary_By_Episode!A:A,$A48,Summary_By_Episode!U:U))</f>
        <v/>
      </c>
    </row>
    <row r="49">
      <c r="B49" s="7" t="str">
        <f>IF($A49="","",SUMIF(Summary_By_Episode!A:A,$A49,Summary_By_Episode!D:D))</f>
        <v/>
      </c>
      <c r="C49" s="7" t="str">
        <f>IF($A49="","",SUMIF(Summary_By_Episode!A:A,$A49,Summary_By_Episode!E:E))</f>
        <v/>
      </c>
      <c r="D49" s="7" t="str">
        <f>IF($A49="","",SUMIF(Summary_By_Episode!A:A,$A49,Summary_By_Episode!H:H))</f>
        <v/>
      </c>
      <c r="E49" s="7" t="str">
        <f>IF($A49="","",SUMIF(Summary_By_Episode!A:A,$A49,Summary_By_Episode!I:I))</f>
        <v/>
      </c>
      <c r="F49" s="7" t="str">
        <f>IF($A49="","",SUMIF(Summary_By_Episode!A:A,$A49,Summary_By_Episode!J:J))</f>
        <v/>
      </c>
      <c r="G49" s="7" t="str">
        <f>IF($A49="","",SUMIF(Summary_By_Episode!A:A,$A49,#REF!))</f>
        <v/>
      </c>
      <c r="H49" s="7" t="str">
        <f>IF($A49="","",SUMIF(Summary_By_Episode!A:A,$A49,Summary_By_Episode!M:M))</f>
        <v/>
      </c>
      <c r="I49" s="7" t="str">
        <f>IF($A49="","",SUMIF(Summary_By_Episode!A:A,$A49,Summary_By_Episode!O:O))</f>
        <v/>
      </c>
      <c r="J49" s="7" t="str">
        <f>IF($A49="","",SUMIF(Summary_By_Episode!A:A,$A49,Summary_By_Episode!P:P))</f>
        <v/>
      </c>
      <c r="K49" s="7" t="str">
        <f>IF($A49="","",SUMIF(Summary_By_Episode!A:A,$A49,Summary_By_Episode!R:R))</f>
        <v/>
      </c>
      <c r="L49" s="7" t="str">
        <f>IF($A49="","",SUMIF(Summary_By_Episode!A:A,$A49,Summary_By_Episode!S:S))</f>
        <v/>
      </c>
      <c r="M49" s="7" t="str">
        <f>IF($A49="","",SUMIF(Summary_By_Episode!A:A,$A49,Summary_By_Episode!T:T))</f>
        <v/>
      </c>
      <c r="N49" s="7" t="str">
        <f>IF($A49="","",SUMIF(Summary_By_Episode!A:A,$A49,Summary_By_Episode!U:U))</f>
        <v/>
      </c>
    </row>
    <row r="50">
      <c r="B50" s="7" t="str">
        <f>IF($A50="","",SUMIF(Summary_By_Episode!A:A,$A50,Summary_By_Episode!D:D))</f>
        <v/>
      </c>
      <c r="C50" s="7" t="str">
        <f>IF($A50="","",SUMIF(Summary_By_Episode!A:A,$A50,Summary_By_Episode!E:E))</f>
        <v/>
      </c>
      <c r="D50" s="7" t="str">
        <f>IF($A50="","",SUMIF(Summary_By_Episode!A:A,$A50,Summary_By_Episode!H:H))</f>
        <v/>
      </c>
      <c r="E50" s="7" t="str">
        <f>IF($A50="","",SUMIF(Summary_By_Episode!A:A,$A50,Summary_By_Episode!I:I))</f>
        <v/>
      </c>
      <c r="F50" s="7" t="str">
        <f>IF($A50="","",SUMIF(Summary_By_Episode!A:A,$A50,Summary_By_Episode!J:J))</f>
        <v/>
      </c>
      <c r="G50" s="7" t="str">
        <f>IF($A50="","",SUMIF(Summary_By_Episode!A:A,$A50,#REF!))</f>
        <v/>
      </c>
      <c r="H50" s="7" t="str">
        <f>IF($A50="","",SUMIF(Summary_By_Episode!A:A,$A50,Summary_By_Episode!M:M))</f>
        <v/>
      </c>
      <c r="I50" s="7" t="str">
        <f>IF($A50="","",SUMIF(Summary_By_Episode!A:A,$A50,Summary_By_Episode!O:O))</f>
        <v/>
      </c>
      <c r="J50" s="7" t="str">
        <f>IF($A50="","",SUMIF(Summary_By_Episode!A:A,$A50,Summary_By_Episode!P:P))</f>
        <v/>
      </c>
      <c r="K50" s="7" t="str">
        <f>IF($A50="","",SUMIF(Summary_By_Episode!A:A,$A50,Summary_By_Episode!R:R))</f>
        <v/>
      </c>
      <c r="L50" s="7" t="str">
        <f>IF($A50="","",SUMIF(Summary_By_Episode!A:A,$A50,Summary_By_Episode!S:S))</f>
        <v/>
      </c>
      <c r="M50" s="7" t="str">
        <f>IF($A50="","",SUMIF(Summary_By_Episode!A:A,$A50,Summary_By_Episode!T:T))</f>
        <v/>
      </c>
      <c r="N50" s="7" t="str">
        <f>IF($A50="","",SUMIF(Summary_By_Episode!A:A,$A50,Summary_By_Episode!U:U))</f>
        <v/>
      </c>
    </row>
    <row r="51">
      <c r="B51" s="7" t="str">
        <f>IF($A51="","",SUMIF(Summary_By_Episode!A:A,$A51,Summary_By_Episode!D:D))</f>
        <v/>
      </c>
      <c r="C51" s="7" t="str">
        <f>IF($A51="","",SUMIF(Summary_By_Episode!A:A,$A51,Summary_By_Episode!E:E))</f>
        <v/>
      </c>
      <c r="D51" s="7" t="str">
        <f>IF($A51="","",SUMIF(Summary_By_Episode!A:A,$A51,Summary_By_Episode!H:H))</f>
        <v/>
      </c>
      <c r="E51" s="7" t="str">
        <f>IF($A51="","",SUMIF(Summary_By_Episode!A:A,$A51,Summary_By_Episode!I:I))</f>
        <v/>
      </c>
      <c r="F51" s="7" t="str">
        <f>IF($A51="","",SUMIF(Summary_By_Episode!A:A,$A51,Summary_By_Episode!J:J))</f>
        <v/>
      </c>
      <c r="G51" s="7" t="str">
        <f>IF($A51="","",SUMIF(Summary_By_Episode!A:A,$A51,#REF!))</f>
        <v/>
      </c>
      <c r="H51" s="7" t="str">
        <f>IF($A51="","",SUMIF(Summary_By_Episode!A:A,$A51,Summary_By_Episode!M:M))</f>
        <v/>
      </c>
      <c r="I51" s="7" t="str">
        <f>IF($A51="","",SUMIF(Summary_By_Episode!A:A,$A51,Summary_By_Episode!O:O))</f>
        <v/>
      </c>
      <c r="J51" s="7" t="str">
        <f>IF($A51="","",SUMIF(Summary_By_Episode!A:A,$A51,Summary_By_Episode!P:P))</f>
        <v/>
      </c>
      <c r="K51" s="7" t="str">
        <f>IF($A51="","",SUMIF(Summary_By_Episode!A:A,$A51,Summary_By_Episode!R:R))</f>
        <v/>
      </c>
      <c r="L51" s="7" t="str">
        <f>IF($A51="","",SUMIF(Summary_By_Episode!A:A,$A51,Summary_By_Episode!S:S))</f>
        <v/>
      </c>
      <c r="M51" s="7" t="str">
        <f>IF($A51="","",SUMIF(Summary_By_Episode!A:A,$A51,Summary_By_Episode!T:T))</f>
        <v/>
      </c>
      <c r="N51" s="7" t="str">
        <f>IF($A51="","",SUMIF(Summary_By_Episode!A:A,$A51,Summary_By_Episode!U:U))</f>
        <v/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38"/>
    <col customWidth="1" min="2" max="2" width="8.88"/>
    <col customWidth="1" min="3" max="3" width="22.13"/>
    <col customWidth="1" min="4" max="4" width="17.13"/>
    <col customWidth="1" min="5" max="5" width="18.5"/>
    <col customWidth="1" min="6" max="6" width="13.0"/>
    <col customWidth="1" min="7" max="7" width="10.25"/>
    <col customWidth="1" min="8" max="8" width="13.0"/>
    <col customWidth="1" min="9" max="9" width="17.63"/>
    <col customWidth="1" min="10" max="10" width="22.63"/>
    <col customWidth="1" min="11" max="11" width="18.88"/>
    <col customWidth="1" min="12" max="12" width="13.75"/>
    <col customWidth="1" min="13" max="13" width="11.38"/>
    <col customWidth="1" min="14" max="14" width="16.5"/>
    <col customWidth="1" min="15" max="15" width="14.13"/>
    <col customWidth="1" min="16" max="16" width="11.63"/>
    <col customWidth="1" min="17" max="17" width="14.25"/>
    <col customWidth="1" min="18" max="18" width="16.63"/>
    <col customWidth="1" min="19" max="19" width="11.5"/>
    <col customWidth="1" min="20" max="20" width="15.5"/>
    <col customWidth="1" min="21" max="21" width="19.25"/>
  </cols>
  <sheetData>
    <row r="1">
      <c r="A1" s="1" t="s">
        <v>3</v>
      </c>
      <c r="B1" s="1" t="s">
        <v>4</v>
      </c>
      <c r="C1" s="1" t="s">
        <v>5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27</v>
      </c>
      <c r="I1" s="1" t="s">
        <v>28</v>
      </c>
      <c r="J1" s="1" t="s">
        <v>29</v>
      </c>
      <c r="K1" s="1" t="s">
        <v>42</v>
      </c>
      <c r="L1" s="1" t="s">
        <v>43</v>
      </c>
      <c r="M1" s="1" t="s">
        <v>31</v>
      </c>
      <c r="N1" s="1" t="s">
        <v>44</v>
      </c>
      <c r="O1" s="1" t="s">
        <v>32</v>
      </c>
      <c r="P1" s="1" t="s">
        <v>45</v>
      </c>
      <c r="Q1" s="1" t="s">
        <v>46</v>
      </c>
      <c r="R1" s="1" t="s">
        <v>34</v>
      </c>
      <c r="S1" s="1" t="s">
        <v>35</v>
      </c>
      <c r="T1" s="1" t="s">
        <v>36</v>
      </c>
      <c r="U1" s="1" t="s">
        <v>37</v>
      </c>
    </row>
    <row r="2">
      <c r="A2" s="7">
        <f t="array" ref="A2:A1000">IF(Episodes!A2:A1000="","",Episodes!A2:A1000)</f>
        <v>0</v>
      </c>
      <c r="B2" s="7">
        <f t="array" ref="B2:B1000">IF(Episodes!B2:B1000="","",Episodes!B2:B1000)</f>
        <v>0</v>
      </c>
      <c r="C2" s="7" t="str">
        <f t="array" ref="C2:C1000">IF(Episodes!A2:A1000="","",Episodes!C2:C1000)</f>
        <v>Teaser</v>
      </c>
      <c r="D2" s="7">
        <f>IF($A2="","",SUMIFS(YouTube_Long!G:G,YouTube_Long!A:A,$A2,YouTube_Long!B:B,$B2))</f>
        <v>864</v>
      </c>
      <c r="E2" s="7">
        <f>IF($A2="","",SUMIFS(YouTube_Long!H:H,YouTube_Long!A:A,$A2,YouTube_Long!B:B,$B2))</f>
        <v>7688</v>
      </c>
      <c r="F2" s="9">
        <f>IF($A2="","",SUMIFS(YouTube_Long!I:I,YouTube_Long!A:A,$A2,YouTube_Long!B:B,$B2))</f>
        <v>0.051</v>
      </c>
      <c r="G2" s="7">
        <f>YouTube_Shorts!D2</f>
        <v>0</v>
      </c>
      <c r="H2" s="7">
        <f>IF($A2="","",SUMIFS(YouTube_Shorts!F:F,YouTube_Shorts!A:A,$A2,YouTube_Shorts!B:B,$B2))</f>
        <v>0</v>
      </c>
      <c r="I2" s="7">
        <f>IF($A2="","",SUMIFS(YouTube_Shorts!G:G,YouTube_Shorts!A:A,$A2,YouTube_Shorts!B:B,$B2))</f>
        <v>0</v>
      </c>
      <c r="J2" s="7">
        <f t="shared" ref="J2:J201" si="1">IF($A2="","",$D2+$H2)</f>
        <v>864</v>
      </c>
      <c r="K2" s="7">
        <f>Audio!F2</f>
        <v>88</v>
      </c>
      <c r="L2" s="7">
        <f>TikTok_Posts!E2</f>
        <v>1</v>
      </c>
      <c r="M2" s="7">
        <f>IF($A2="","",SUMIFS(TikTok_Posts!G:G,TikTok_Posts!A:A,$A2,TikTok_Posts!B:B,$B2))</f>
        <v>665</v>
      </c>
      <c r="N2" s="7">
        <f>Instagram_Posts!D2</f>
        <v>1</v>
      </c>
      <c r="O2" s="7">
        <f>IF($A2="","",SUMIFS(Instagram_Posts!E:E,Instagram_Posts!A:A,$A2,Instagram_Posts!B:B,$B2))</f>
        <v>294</v>
      </c>
      <c r="P2" s="7" t="str">
        <f>Blog!E2</f>
        <v/>
      </c>
      <c r="Q2" s="7">
        <f>IF($A2="","",COUNTIFS(LinkedIn_Posts!A:A,$A2,LinkedIn_Posts!B:B,$B2))</f>
        <v>1</v>
      </c>
      <c r="R2" s="7">
        <f>IF($A2="","",SUMIFS(LinkedIn_Posts!F:F,LinkedIn_Posts!A:A,$A2,LinkedIn_Posts!B:B,$B2))</f>
        <v>0</v>
      </c>
      <c r="S2" s="7">
        <f>IF($A2="","",SUMIFS(LinkedIn_Posts!G:G,LinkedIn_Posts!A:A,$A2,LinkedIn_Posts!B:B,$B2))</f>
        <v>0</v>
      </c>
      <c r="T2" s="7">
        <f>IF($A2="","",SUMIFS(LinkedIn_Posts!H:H,LinkedIn_Posts!A:A,$A2,LinkedIn_Posts!B:B,$B2))</f>
        <v>0</v>
      </c>
      <c r="U2" s="7">
        <f>IF($A2="","",SUMIFS(LinkedIn_Posts!I:I,LinkedIn_Posts!A:A,$A2,LinkedIn_Posts!B:B,$B2))</f>
        <v>0</v>
      </c>
    </row>
    <row r="3">
      <c r="A3" s="7">
        <v>1.0</v>
      </c>
      <c r="B3" s="7">
        <v>1.0</v>
      </c>
      <c r="C3" s="7" t="s">
        <v>7</v>
      </c>
      <c r="D3" s="7">
        <f>IF($A3="","",SUMIFS(YouTube_Long!G:G,YouTube_Long!A:A,$A3,YouTube_Long!B:B,$B3))</f>
        <v>53630</v>
      </c>
      <c r="E3" s="7">
        <f>IF($A3="","",SUMIFS(YouTube_Long!H:H,YouTube_Long!A:A,$A3,YouTube_Long!B:B,$B3))</f>
        <v>703036</v>
      </c>
      <c r="F3" s="9">
        <f>IF($A3="","",SUMIFS(YouTube_Long!I:I,YouTube_Long!A:A,$A3,YouTube_Long!B:B,$B3))</f>
        <v>0.05</v>
      </c>
      <c r="G3" s="7">
        <f>YouTube_Shorts!D3</f>
        <v>1</v>
      </c>
      <c r="H3" s="8">
        <f>sum(YouTube_Shorts!F3,YouTube_Shorts!I3,YouTube_Shorts!L3,YouTube_Shorts!O3,YouTube_Shorts!R3,YouTube_Shorts!U3,YouTube_Shorts!X3,YouTube_Shorts!AA3)</f>
        <v>105597</v>
      </c>
      <c r="I3" s="8">
        <f>sum(YouTube_Shorts!G3,YouTube_Shorts!J3,YouTube_Shorts!M3,YouTube_Shorts!P3,YouTube_Shorts!S3,YouTube_Shorts!V3,YouTube_Shorts!Y3,YouTube_Shorts!AB3)</f>
        <v>213651</v>
      </c>
      <c r="J3" s="8">
        <f t="shared" si="1"/>
        <v>159227</v>
      </c>
      <c r="K3" s="7">
        <f>Audio!F3</f>
        <v>954</v>
      </c>
      <c r="L3" s="7">
        <f>TikTok_Posts!E3</f>
        <v>1</v>
      </c>
      <c r="M3" s="7">
        <f>IF($A3="","",SUMIFS(TikTok_Posts!G:G,TikTok_Posts!A:A,$A3,TikTok_Posts!B:B,$B3))</f>
        <v>779</v>
      </c>
      <c r="N3" s="7">
        <f>Instagram_Posts!D3</f>
        <v>1</v>
      </c>
      <c r="O3" s="7">
        <f>IF($A3="","",SUMIFS(Instagram_Posts!E:E,Instagram_Posts!A:A,$A3,Instagram_Posts!B:B,$B3))</f>
        <v>1400</v>
      </c>
      <c r="P3" s="7">
        <f>Blog!E3</f>
        <v>1534</v>
      </c>
      <c r="Q3" s="7">
        <f>IF($A3="","",COUNTIFS(LinkedIn_Posts!A:A,$A3,LinkedIn_Posts!B:B,$B3))</f>
        <v>1</v>
      </c>
      <c r="R3" s="7">
        <f>IF($A3="","",SUMIFS(LinkedIn_Posts!F:F,LinkedIn_Posts!A:A,$A3,LinkedIn_Posts!B:B,$B3))</f>
        <v>0</v>
      </c>
      <c r="S3" s="7">
        <f>IF($A3="","",SUMIFS(LinkedIn_Posts!G:G,LinkedIn_Posts!A:A,$A3,LinkedIn_Posts!B:B,$B3))</f>
        <v>0</v>
      </c>
      <c r="T3" s="7">
        <f>IF($A3="","",SUMIFS(LinkedIn_Posts!H:H,LinkedIn_Posts!A:A,$A3,LinkedIn_Posts!B:B,$B3))</f>
        <v>0</v>
      </c>
      <c r="U3" s="7">
        <f>IF($A3="","",SUMIFS(LinkedIn_Posts!I:I,LinkedIn_Posts!A:A,$A3,LinkedIn_Posts!B:B,$B3))</f>
        <v>0</v>
      </c>
    </row>
    <row r="4">
      <c r="A4" s="7">
        <v>1.0</v>
      </c>
      <c r="B4" s="7">
        <v>2.0</v>
      </c>
      <c r="C4" s="7" t="s">
        <v>8</v>
      </c>
      <c r="D4" s="7">
        <f>IF($A4="","",SUMIFS(YouTube_Long!G:G,YouTube_Long!A:A,$A4,YouTube_Long!B:B,$B4))</f>
        <v>1301</v>
      </c>
      <c r="E4" s="7">
        <f>IF($A4="","",SUMIFS(YouTube_Long!H:H,YouTube_Long!A:A,$A4,YouTube_Long!B:B,$B4))</f>
        <v>14793</v>
      </c>
      <c r="F4" s="9">
        <f>IF($A4="","",SUMIFS(YouTube_Long!I:I,YouTube_Long!A:A,$A4,YouTube_Long!B:B,$B4))</f>
        <v>0.042</v>
      </c>
      <c r="G4" s="7">
        <f>YouTube_Shorts!D4</f>
        <v>3</v>
      </c>
      <c r="H4" s="8">
        <f>sum(YouTube_Shorts!F4,YouTube_Shorts!I4,YouTube_Shorts!L4,YouTube_Shorts!O4,YouTube_Shorts!R4,YouTube_Shorts!U4,YouTube_Shorts!X4,YouTube_Shorts!AA4)</f>
        <v>63167</v>
      </c>
      <c r="I4" s="8">
        <f>sum(YouTube_Shorts!G4,YouTube_Shorts!J4,YouTube_Shorts!M4,YouTube_Shorts!P4,YouTube_Shorts!S4,YouTube_Shorts!V4,YouTube_Shorts!Y4,YouTube_Shorts!AB4)</f>
        <v>18991</v>
      </c>
      <c r="J4" s="8">
        <f t="shared" si="1"/>
        <v>64468</v>
      </c>
      <c r="K4" s="7">
        <f>Audio!F4</f>
        <v>476</v>
      </c>
      <c r="L4" s="7">
        <f>TikTok_Posts!E4</f>
        <v>6</v>
      </c>
      <c r="M4" s="7">
        <f>IF($A4="","",SUMIFS(TikTok_Posts!G:G,TikTok_Posts!A:A,$A4,TikTok_Posts!B:B,$B4))</f>
        <v>142488</v>
      </c>
      <c r="N4" s="7">
        <f>Instagram_Posts!D4</f>
        <v>5</v>
      </c>
      <c r="O4" s="7">
        <f>IF($A4="","",SUMIFS(Instagram_Posts!E:E,Instagram_Posts!A:A,$A4,Instagram_Posts!B:B,$B4))</f>
        <v>67864</v>
      </c>
      <c r="P4" s="7">
        <f>Blog!E4</f>
        <v>195</v>
      </c>
      <c r="Q4" s="7">
        <f>IF($A4="","",COUNTIFS(LinkedIn_Posts!A:A,$A4,LinkedIn_Posts!B:B,$B4))</f>
        <v>1</v>
      </c>
      <c r="R4" s="7">
        <f>IF($A4="","",SUMIFS(LinkedIn_Posts!F:F,LinkedIn_Posts!A:A,$A4,LinkedIn_Posts!B:B,$B4))</f>
        <v>0</v>
      </c>
      <c r="S4" s="7">
        <f>IF($A4="","",SUMIFS(LinkedIn_Posts!G:G,LinkedIn_Posts!A:A,$A4,LinkedIn_Posts!B:B,$B4))</f>
        <v>0</v>
      </c>
      <c r="T4" s="7">
        <f>IF($A4="","",SUMIFS(LinkedIn_Posts!H:H,LinkedIn_Posts!A:A,$A4,LinkedIn_Posts!B:B,$B4))</f>
        <v>0</v>
      </c>
      <c r="U4" s="7">
        <f>IF($A4="","",SUMIFS(LinkedIn_Posts!I:I,LinkedIn_Posts!A:A,$A4,LinkedIn_Posts!B:B,$B4))</f>
        <v>0</v>
      </c>
    </row>
    <row r="5">
      <c r="A5" s="7">
        <v>1.0</v>
      </c>
      <c r="B5" s="7">
        <v>3.0</v>
      </c>
      <c r="C5" s="7" t="s">
        <v>9</v>
      </c>
      <c r="D5" s="7">
        <f>IF($A5="","",SUMIFS(YouTube_Long!G:G,YouTube_Long!A:A,$A5,YouTube_Long!B:B,$B5))</f>
        <v>6722</v>
      </c>
      <c r="E5" s="7">
        <f>IF($A5="","",SUMIFS(YouTube_Long!H:H,YouTube_Long!A:A,$A5,YouTube_Long!B:B,$B5))</f>
        <v>110531</v>
      </c>
      <c r="F5" s="9">
        <f>IF($A5="","",SUMIFS(YouTube_Long!I:I,YouTube_Long!A:A,$A5,YouTube_Long!B:B,$B5))</f>
        <v>0.038</v>
      </c>
      <c r="G5" s="7">
        <f>YouTube_Shorts!D5</f>
        <v>1</v>
      </c>
      <c r="H5" s="8">
        <f>sum(YouTube_Shorts!F5,YouTube_Shorts!I5,YouTube_Shorts!L5,YouTube_Shorts!O5,YouTube_Shorts!R5,YouTube_Shorts!U5,YouTube_Shorts!X5,YouTube_Shorts!AA5)</f>
        <v>1256</v>
      </c>
      <c r="I5" s="8">
        <f>sum(YouTube_Shorts!G5,YouTube_Shorts!J5,YouTube_Shorts!M5,YouTube_Shorts!P5,YouTube_Shorts!S5,YouTube_Shorts!V5,YouTube_Shorts!Y5,YouTube_Shorts!AB5)</f>
        <v>5730</v>
      </c>
      <c r="J5" s="8">
        <f t="shared" si="1"/>
        <v>7978</v>
      </c>
      <c r="K5" s="7">
        <f>Audio!F5</f>
        <v>438</v>
      </c>
      <c r="L5" s="7">
        <f>TikTok_Posts!E5</f>
        <v>1</v>
      </c>
      <c r="M5" s="7">
        <f>IF($A5="","",SUMIFS(TikTok_Posts!G:G,TikTok_Posts!A:A,$A5,TikTok_Posts!B:B,$B5))</f>
        <v>1426</v>
      </c>
      <c r="N5" s="7">
        <f>Instagram_Posts!D5</f>
        <v>1</v>
      </c>
      <c r="O5" s="7">
        <f>IF($A5="","",SUMIFS(Instagram_Posts!E:E,Instagram_Posts!A:A,$A5,Instagram_Posts!B:B,$B5))</f>
        <v>867</v>
      </c>
      <c r="P5" s="7">
        <f>Blog!E5</f>
        <v>433</v>
      </c>
      <c r="Q5" s="7">
        <f>IF($A5="","",COUNTIFS(LinkedIn_Posts!A:A,$A5,LinkedIn_Posts!B:B,$B5))</f>
        <v>1</v>
      </c>
      <c r="R5" s="7">
        <f>IF($A5="","",SUMIFS(LinkedIn_Posts!F:F,LinkedIn_Posts!A:A,$A5,LinkedIn_Posts!B:B,$B5))</f>
        <v>0</v>
      </c>
      <c r="S5" s="7">
        <f>IF($A5="","",SUMIFS(LinkedIn_Posts!G:G,LinkedIn_Posts!A:A,$A5,LinkedIn_Posts!B:B,$B5))</f>
        <v>0</v>
      </c>
      <c r="T5" s="7">
        <f>IF($A5="","",SUMIFS(LinkedIn_Posts!H:H,LinkedIn_Posts!A:A,$A5,LinkedIn_Posts!B:B,$B5))</f>
        <v>0</v>
      </c>
      <c r="U5" s="7">
        <f>IF($A5="","",SUMIFS(LinkedIn_Posts!I:I,LinkedIn_Posts!A:A,$A5,LinkedIn_Posts!B:B,$B5))</f>
        <v>0</v>
      </c>
    </row>
    <row r="6">
      <c r="A6" s="7">
        <v>1.0</v>
      </c>
      <c r="B6" s="7">
        <v>4.0</v>
      </c>
      <c r="C6" s="7" t="s">
        <v>10</v>
      </c>
      <c r="D6" s="7">
        <f>IF($A6="","",SUMIFS(YouTube_Long!G:G,YouTube_Long!A:A,$A6,YouTube_Long!B:B,$B6))</f>
        <v>644</v>
      </c>
      <c r="E6" s="7">
        <f>IF($A6="","",SUMIFS(YouTube_Long!H:H,YouTube_Long!A:A,$A6,YouTube_Long!B:B,$B6))</f>
        <v>9997</v>
      </c>
      <c r="F6" s="9">
        <f>IF($A6="","",SUMIFS(YouTube_Long!I:I,YouTube_Long!A:A,$A6,YouTube_Long!B:B,$B6))</f>
        <v>0.023</v>
      </c>
      <c r="G6" s="7">
        <f>YouTube_Shorts!D6</f>
        <v>1</v>
      </c>
      <c r="H6" s="8">
        <f>sum(YouTube_Shorts!F6,YouTube_Shorts!I6,YouTube_Shorts!L6,YouTube_Shorts!O6,YouTube_Shorts!R6,YouTube_Shorts!U6,YouTube_Shorts!X6,YouTube_Shorts!AA6)</f>
        <v>1245</v>
      </c>
      <c r="I6" s="8">
        <f>sum(YouTube_Shorts!G6,YouTube_Shorts!J6,YouTube_Shorts!M6,YouTube_Shorts!P6,YouTube_Shorts!S6,YouTube_Shorts!V6,YouTube_Shorts!Y6,YouTube_Shorts!AB6)</f>
        <v>5249</v>
      </c>
      <c r="J6" s="8">
        <f t="shared" si="1"/>
        <v>1889</v>
      </c>
      <c r="K6" s="7">
        <f>Audio!F6</f>
        <v>351</v>
      </c>
      <c r="L6" s="7">
        <f>TikTok_Posts!E6</f>
        <v>1</v>
      </c>
      <c r="M6" s="7">
        <f>IF($A6="","",SUMIFS(TikTok_Posts!G:G,TikTok_Posts!A:A,$A6,TikTok_Posts!B:B,$B6))</f>
        <v>1327</v>
      </c>
      <c r="N6" s="7">
        <f>Instagram_Posts!D6</f>
        <v>2</v>
      </c>
      <c r="O6" s="7">
        <f>IF($A6="","",SUMIFS(Instagram_Posts!E:E,Instagram_Posts!A:A,$A6,Instagram_Posts!B:B,$B6))</f>
        <v>2019</v>
      </c>
      <c r="P6" s="7">
        <f>Blog!E6</f>
        <v>150</v>
      </c>
      <c r="Q6" s="7">
        <f>IF($A6="","",COUNTIFS(LinkedIn_Posts!A:A,$A6,LinkedIn_Posts!B:B,$B6))</f>
        <v>1</v>
      </c>
      <c r="R6" s="7">
        <f>IF($A6="","",SUMIFS(LinkedIn_Posts!F:F,LinkedIn_Posts!A:A,$A6,LinkedIn_Posts!B:B,$B6))</f>
        <v>0</v>
      </c>
      <c r="S6" s="7">
        <f>IF($A6="","",SUMIFS(LinkedIn_Posts!G:G,LinkedIn_Posts!A:A,$A6,LinkedIn_Posts!B:B,$B6))</f>
        <v>0</v>
      </c>
      <c r="T6" s="7">
        <f>IF($A6="","",SUMIFS(LinkedIn_Posts!H:H,LinkedIn_Posts!A:A,$A6,LinkedIn_Posts!B:B,$B6))</f>
        <v>0</v>
      </c>
      <c r="U6" s="7">
        <f>IF($A6="","",SUMIFS(LinkedIn_Posts!I:I,LinkedIn_Posts!A:A,$A6,LinkedIn_Posts!B:B,$B6))</f>
        <v>0</v>
      </c>
    </row>
    <row r="7">
      <c r="A7" s="7">
        <v>1.0</v>
      </c>
      <c r="B7" s="7">
        <v>5.0</v>
      </c>
      <c r="C7" s="7" t="s">
        <v>11</v>
      </c>
      <c r="D7" s="7">
        <f>IF($A7="","",SUMIFS(YouTube_Long!G:G,YouTube_Long!A:A,$A7,YouTube_Long!B:B,$B7))</f>
        <v>1172</v>
      </c>
      <c r="E7" s="7">
        <f>IF($A7="","",SUMIFS(YouTube_Long!H:H,YouTube_Long!A:A,$A7,YouTube_Long!B:B,$B7))</f>
        <v>10274</v>
      </c>
      <c r="F7" s="9">
        <f>IF($A7="","",SUMIFS(YouTube_Long!I:I,YouTube_Long!A:A,$A7,YouTube_Long!B:B,$B7))</f>
        <v>0.051</v>
      </c>
      <c r="G7" s="7">
        <f>YouTube_Shorts!D7</f>
        <v>0</v>
      </c>
      <c r="H7" s="8">
        <f>sum(YouTube_Shorts!F7,YouTube_Shorts!I7,YouTube_Shorts!L7,YouTube_Shorts!O7,YouTube_Shorts!R7,YouTube_Shorts!U7,YouTube_Shorts!X7,YouTube_Shorts!AA7)</f>
        <v>0</v>
      </c>
      <c r="I7" s="8">
        <f>sum(YouTube_Shorts!G7,YouTube_Shorts!J7,YouTube_Shorts!M7,YouTube_Shorts!P7,YouTube_Shorts!S7,YouTube_Shorts!V7,YouTube_Shorts!Y7,YouTube_Shorts!AB7)</f>
        <v>0</v>
      </c>
      <c r="J7" s="8">
        <f t="shared" si="1"/>
        <v>1172</v>
      </c>
      <c r="K7" s="7">
        <f>Audio!F7</f>
        <v>557</v>
      </c>
      <c r="L7" s="7">
        <f>TikTok_Posts!E7</f>
        <v>0</v>
      </c>
      <c r="M7" s="7">
        <f>IF($A7="","",SUMIFS(TikTok_Posts!G:G,TikTok_Posts!A:A,$A7,TikTok_Posts!B:B,$B7))</f>
        <v>0</v>
      </c>
      <c r="N7" s="7">
        <f>Instagram_Posts!D7</f>
        <v>0</v>
      </c>
      <c r="O7" s="7">
        <f>IF($A7="","",SUMIFS(Instagram_Posts!E:E,Instagram_Posts!A:A,$A7,Instagram_Posts!B:B,$B7))</f>
        <v>0</v>
      </c>
      <c r="P7" s="7">
        <f>Blog!E7</f>
        <v>382</v>
      </c>
      <c r="Q7" s="7">
        <f>IF($A7="","",COUNTIFS(LinkedIn_Posts!A:A,$A7,LinkedIn_Posts!B:B,$B7))</f>
        <v>1</v>
      </c>
      <c r="R7" s="7">
        <f>IF($A7="","",SUMIFS(LinkedIn_Posts!F:F,LinkedIn_Posts!A:A,$A7,LinkedIn_Posts!B:B,$B7))</f>
        <v>0</v>
      </c>
      <c r="S7" s="7">
        <f>IF($A7="","",SUMIFS(LinkedIn_Posts!G:G,LinkedIn_Posts!A:A,$A7,LinkedIn_Posts!B:B,$B7))</f>
        <v>0</v>
      </c>
      <c r="T7" s="7">
        <f>IF($A7="","",SUMIFS(LinkedIn_Posts!H:H,LinkedIn_Posts!A:A,$A7,LinkedIn_Posts!B:B,$B7))</f>
        <v>0</v>
      </c>
      <c r="U7" s="7">
        <f>IF($A7="","",SUMIFS(LinkedIn_Posts!I:I,LinkedIn_Posts!A:A,$A7,LinkedIn_Posts!B:B,$B7))</f>
        <v>0</v>
      </c>
    </row>
    <row r="8">
      <c r="A8" s="7">
        <v>2.0</v>
      </c>
      <c r="B8" s="7">
        <v>6.0</v>
      </c>
      <c r="C8" s="7" t="s">
        <v>12</v>
      </c>
      <c r="D8" s="7">
        <f>IF($A8="","",SUMIFS(YouTube_Long!G:G,YouTube_Long!A:A,$A8,YouTube_Long!B:B,$B8))</f>
        <v>2256</v>
      </c>
      <c r="E8" s="7">
        <f>IF($A8="","",SUMIFS(YouTube_Long!H:H,YouTube_Long!A:A,$A8,YouTube_Long!B:B,$B8))</f>
        <v>31232</v>
      </c>
      <c r="F8" s="9">
        <f>IF($A8="","",SUMIFS(YouTube_Long!I:I,YouTube_Long!A:A,$A8,YouTube_Long!B:B,$B8))</f>
        <v>0.039</v>
      </c>
      <c r="G8" s="7">
        <f>YouTube_Shorts!D8</f>
        <v>2</v>
      </c>
      <c r="H8" s="8">
        <f>sum(YouTube_Shorts!F8,YouTube_Shorts!I8,YouTube_Shorts!L8,YouTube_Shorts!O8,YouTube_Shorts!R8,YouTube_Shorts!U8,YouTube_Shorts!X8,YouTube_Shorts!AA8)</f>
        <v>124810</v>
      </c>
      <c r="I8" s="8">
        <f>sum(YouTube_Shorts!G8,YouTube_Shorts!J8,YouTube_Shorts!M8,YouTube_Shorts!P8,YouTube_Shorts!S8,YouTube_Shorts!V8,YouTube_Shorts!Y8,YouTube_Shorts!AB8)</f>
        <v>18015</v>
      </c>
      <c r="J8" s="8">
        <f t="shared" si="1"/>
        <v>127066</v>
      </c>
      <c r="K8" s="7">
        <f>Audio!F8</f>
        <v>435</v>
      </c>
      <c r="L8" s="7">
        <f>TikTok_Posts!E8</f>
        <v>6</v>
      </c>
      <c r="M8" s="7">
        <f>IF($A8="","",SUMIFS(TikTok_Posts!G:G,TikTok_Posts!A:A,$A8,TikTok_Posts!B:B,$B8))</f>
        <v>30352</v>
      </c>
      <c r="N8" s="7">
        <f>Instagram_Posts!D8</f>
        <v>5</v>
      </c>
      <c r="O8" s="7">
        <f>IF($A8="","",SUMIFS(Instagram_Posts!E:E,Instagram_Posts!A:A,$A8,Instagram_Posts!B:B,$B8))</f>
        <v>10500</v>
      </c>
      <c r="P8" s="7">
        <f>Blog!E8</f>
        <v>227</v>
      </c>
      <c r="Q8" s="7">
        <f>IF($A8="","",COUNTIFS(LinkedIn_Posts!A:A,$A8,LinkedIn_Posts!B:B,$B8))</f>
        <v>1</v>
      </c>
      <c r="R8" s="7">
        <f>IF($A8="","",SUMIFS(LinkedIn_Posts!F:F,LinkedIn_Posts!A:A,$A8,LinkedIn_Posts!B:B,$B8))</f>
        <v>0</v>
      </c>
      <c r="S8" s="7">
        <f>IF($A8="","",SUMIFS(LinkedIn_Posts!G:G,LinkedIn_Posts!A:A,$A8,LinkedIn_Posts!B:B,$B8))</f>
        <v>0</v>
      </c>
      <c r="T8" s="7">
        <f>IF($A8="","",SUMIFS(LinkedIn_Posts!H:H,LinkedIn_Posts!A:A,$A8,LinkedIn_Posts!B:B,$B8))</f>
        <v>0</v>
      </c>
      <c r="U8" s="7">
        <f>IF($A8="","",SUMIFS(LinkedIn_Posts!I:I,LinkedIn_Posts!A:A,$A8,LinkedIn_Posts!B:B,$B8))</f>
        <v>0</v>
      </c>
    </row>
    <row r="9">
      <c r="A9" s="7">
        <v>2.0</v>
      </c>
      <c r="B9" s="7">
        <v>7.0</v>
      </c>
      <c r="C9" s="7" t="s">
        <v>13</v>
      </c>
      <c r="D9" s="7">
        <f>IF($A9="","",SUMIFS(YouTube_Long!G:G,YouTube_Long!A:A,$A9,YouTube_Long!B:B,$B9))</f>
        <v>277</v>
      </c>
      <c r="E9" s="7">
        <f>IF($A9="","",SUMIFS(YouTube_Long!H:H,YouTube_Long!A:A,$A9,YouTube_Long!B:B,$B9))</f>
        <v>9638</v>
      </c>
      <c r="F9" s="9">
        <f>IF($A9="","",SUMIFS(YouTube_Long!I:I,YouTube_Long!A:A,$A9,YouTube_Long!B:B,$B9))</f>
        <v>0.016</v>
      </c>
      <c r="G9" s="7">
        <f>YouTube_Shorts!D9</f>
        <v>0</v>
      </c>
      <c r="H9" s="8">
        <f>sum(YouTube_Shorts!F9,YouTube_Shorts!I9,YouTube_Shorts!L9,YouTube_Shorts!O9,YouTube_Shorts!R9,YouTube_Shorts!U9,YouTube_Shorts!X9,YouTube_Shorts!AA9)</f>
        <v>0</v>
      </c>
      <c r="I9" s="8">
        <f>sum(YouTube_Shorts!G9,YouTube_Shorts!J9,YouTube_Shorts!M9,YouTube_Shorts!P9,YouTube_Shorts!S9,YouTube_Shorts!V9,YouTube_Shorts!Y9,YouTube_Shorts!AB9)</f>
        <v>0</v>
      </c>
      <c r="J9" s="8">
        <f t="shared" si="1"/>
        <v>277</v>
      </c>
      <c r="K9" s="7">
        <f>Audio!F9</f>
        <v>353</v>
      </c>
      <c r="L9" s="7">
        <f>TikTok_Posts!E9</f>
        <v>0</v>
      </c>
      <c r="M9" s="7">
        <f>IF($A9="","",SUMIFS(TikTok_Posts!G:G,TikTok_Posts!A:A,$A9,TikTok_Posts!B:B,$B9))</f>
        <v>0</v>
      </c>
      <c r="N9" s="7">
        <f>Instagram_Posts!D9</f>
        <v>0</v>
      </c>
      <c r="O9" s="7">
        <f>IF($A9="","",SUMIFS(Instagram_Posts!E:E,Instagram_Posts!A:A,$A9,Instagram_Posts!B:B,$B9))</f>
        <v>0</v>
      </c>
      <c r="P9" s="7">
        <f>Blog!E9</f>
        <v>246</v>
      </c>
      <c r="Q9" s="7">
        <f>IF($A9="","",COUNTIFS(LinkedIn_Posts!A:A,$A9,LinkedIn_Posts!B:B,$B9))</f>
        <v>1</v>
      </c>
      <c r="R9" s="7">
        <f>IF($A9="","",SUMIFS(LinkedIn_Posts!F:F,LinkedIn_Posts!A:A,$A9,LinkedIn_Posts!B:B,$B9))</f>
        <v>0</v>
      </c>
      <c r="S9" s="7">
        <f>IF($A9="","",SUMIFS(LinkedIn_Posts!G:G,LinkedIn_Posts!A:A,$A9,LinkedIn_Posts!B:B,$B9))</f>
        <v>0</v>
      </c>
      <c r="T9" s="7">
        <f>IF($A9="","",SUMIFS(LinkedIn_Posts!H:H,LinkedIn_Posts!A:A,$A9,LinkedIn_Posts!B:B,$B9))</f>
        <v>0</v>
      </c>
      <c r="U9" s="7">
        <f>IF($A9="","",SUMIFS(LinkedIn_Posts!I:I,LinkedIn_Posts!A:A,$A9,LinkedIn_Posts!B:B,$B9))</f>
        <v>0</v>
      </c>
    </row>
    <row r="10">
      <c r="A10" s="7">
        <v>2.0</v>
      </c>
      <c r="B10" s="7">
        <v>8.0</v>
      </c>
      <c r="C10" s="7" t="s">
        <v>14</v>
      </c>
      <c r="D10" s="7">
        <f>IF($A10="","",SUMIFS(YouTube_Long!G:G,YouTube_Long!A:A,$A10,YouTube_Long!B:B,$B10))</f>
        <v>29838</v>
      </c>
      <c r="E10" s="7">
        <f>IF($A10="","",SUMIFS(YouTube_Long!H:H,YouTube_Long!A:A,$A10,YouTube_Long!B:B,$B10))</f>
        <v>301238</v>
      </c>
      <c r="F10" s="9">
        <f>IF($A10="","",SUMIFS(YouTube_Long!I:I,YouTube_Long!A:A,$A10,YouTube_Long!B:B,$B10))</f>
        <v>0.06</v>
      </c>
      <c r="G10" s="7">
        <f>YouTube_Shorts!D10</f>
        <v>4</v>
      </c>
      <c r="H10" s="8">
        <f>sum(YouTube_Shorts!F10,YouTube_Shorts!I10,YouTube_Shorts!L10,YouTube_Shorts!O10,YouTube_Shorts!R10,YouTube_Shorts!U10,YouTube_Shorts!X10,YouTube_Shorts!AA10)</f>
        <v>152524</v>
      </c>
      <c r="I10" s="8">
        <f>sum(YouTube_Shorts!G10,YouTube_Shorts!J10,YouTube_Shorts!M10,YouTube_Shorts!P10,YouTube_Shorts!S10,YouTube_Shorts!V10,YouTube_Shorts!Y10,YouTube_Shorts!AB10)</f>
        <v>260432</v>
      </c>
      <c r="J10" s="8">
        <f t="shared" si="1"/>
        <v>182362</v>
      </c>
      <c r="K10" s="7">
        <f>Audio!F10</f>
        <v>912</v>
      </c>
      <c r="L10" s="7">
        <f>TikTok_Posts!E10</f>
        <v>2</v>
      </c>
      <c r="M10" s="7">
        <f>IF($A10="","",SUMIFS(TikTok_Posts!G:G,TikTok_Posts!A:A,$A10,TikTok_Posts!B:B,$B10))</f>
        <v>8383</v>
      </c>
      <c r="N10" s="7">
        <f>Instagram_Posts!D10</f>
        <v>2</v>
      </c>
      <c r="O10" s="7">
        <f>IF($A10="","",SUMIFS(Instagram_Posts!E:E,Instagram_Posts!A:A,$A10,Instagram_Posts!B:B,$B10))</f>
        <v>1931</v>
      </c>
      <c r="P10" s="7">
        <f>Blog!E10</f>
        <v>622</v>
      </c>
      <c r="Q10" s="7">
        <f>IF($A10="","",COUNTIFS(LinkedIn_Posts!A:A,$A10,LinkedIn_Posts!B:B,$B10))</f>
        <v>1</v>
      </c>
      <c r="R10" s="7">
        <f>IF($A10="","",SUMIFS(LinkedIn_Posts!F:F,LinkedIn_Posts!A:A,$A10,LinkedIn_Posts!B:B,$B10))</f>
        <v>0</v>
      </c>
      <c r="S10" s="7">
        <f>IF($A10="","",SUMIFS(LinkedIn_Posts!G:G,LinkedIn_Posts!A:A,$A10,LinkedIn_Posts!B:B,$B10))</f>
        <v>0</v>
      </c>
      <c r="T10" s="7">
        <f>IF($A10="","",SUMIFS(LinkedIn_Posts!H:H,LinkedIn_Posts!A:A,$A10,LinkedIn_Posts!B:B,$B10))</f>
        <v>0</v>
      </c>
      <c r="U10" s="7">
        <f>IF($A10="","",SUMIFS(LinkedIn_Posts!I:I,LinkedIn_Posts!A:A,$A10,LinkedIn_Posts!B:B,$B10))</f>
        <v>0</v>
      </c>
    </row>
    <row r="11">
      <c r="A11" s="7">
        <v>2.0</v>
      </c>
      <c r="B11" s="7">
        <v>9.0</v>
      </c>
      <c r="C11" s="7" t="s">
        <v>15</v>
      </c>
      <c r="D11" s="7">
        <f>IF($A11="","",SUMIFS(YouTube_Long!G:G,YouTube_Long!A:A,$A11,YouTube_Long!B:B,$B11))</f>
        <v>8563</v>
      </c>
      <c r="E11" s="7">
        <f>IF($A11="","",SUMIFS(YouTube_Long!H:H,YouTube_Long!A:A,$A11,YouTube_Long!B:B,$B11))</f>
        <v>98078</v>
      </c>
      <c r="F11" s="9">
        <f>IF($A11="","",SUMIFS(YouTube_Long!I:I,YouTube_Long!A:A,$A11,YouTube_Long!B:B,$B11))</f>
        <v>0.052</v>
      </c>
      <c r="G11" s="7">
        <f>YouTube_Shorts!D11</f>
        <v>2</v>
      </c>
      <c r="H11" s="8">
        <f>sum(YouTube_Shorts!F11,YouTube_Shorts!I11,YouTube_Shorts!L11,YouTube_Shorts!O11,YouTube_Shorts!R11,YouTube_Shorts!U11,YouTube_Shorts!X11,YouTube_Shorts!AA11)</f>
        <v>13049</v>
      </c>
      <c r="I11" s="8">
        <f>sum(YouTube_Shorts!G11,YouTube_Shorts!J11,YouTube_Shorts!M11,YouTube_Shorts!P11,YouTube_Shorts!S11,YouTube_Shorts!V11,YouTube_Shorts!Y11,YouTube_Shorts!AB11)</f>
        <v>11417</v>
      </c>
      <c r="J11" s="8">
        <f t="shared" si="1"/>
        <v>21612</v>
      </c>
      <c r="K11" s="7">
        <f>Audio!F11</f>
        <v>461</v>
      </c>
      <c r="L11" s="7">
        <f>TikTok_Posts!E11</f>
        <v>0</v>
      </c>
      <c r="M11" s="7">
        <f>IF($A11="","",SUMIFS(TikTok_Posts!G:G,TikTok_Posts!A:A,$A11,TikTok_Posts!B:B,$B11))</f>
        <v>0</v>
      </c>
      <c r="N11" s="7">
        <f>Instagram_Posts!D11</f>
        <v>2</v>
      </c>
      <c r="O11" s="7">
        <f>IF($A11="","",SUMIFS(Instagram_Posts!E:E,Instagram_Posts!A:A,$A11,Instagram_Posts!B:B,$B11))</f>
        <v>1783</v>
      </c>
      <c r="P11" s="7">
        <f>Blog!E11</f>
        <v>206</v>
      </c>
      <c r="Q11" s="7">
        <f>IF($A11="","",COUNTIFS(LinkedIn_Posts!A:A,$A11,LinkedIn_Posts!B:B,$B11))</f>
        <v>1</v>
      </c>
      <c r="R11" s="7">
        <f>IF($A11="","",SUMIFS(LinkedIn_Posts!F:F,LinkedIn_Posts!A:A,$A11,LinkedIn_Posts!B:B,$B11))</f>
        <v>0</v>
      </c>
      <c r="S11" s="7">
        <f>IF($A11="","",SUMIFS(LinkedIn_Posts!G:G,LinkedIn_Posts!A:A,$A11,LinkedIn_Posts!B:B,$B11))</f>
        <v>0</v>
      </c>
      <c r="T11" s="7">
        <f>IF($A11="","",SUMIFS(LinkedIn_Posts!H:H,LinkedIn_Posts!A:A,$A11,LinkedIn_Posts!B:B,$B11))</f>
        <v>0</v>
      </c>
      <c r="U11" s="7">
        <f>IF($A11="","",SUMIFS(LinkedIn_Posts!I:I,LinkedIn_Posts!A:A,$A11,LinkedIn_Posts!B:B,$B11))</f>
        <v>0</v>
      </c>
    </row>
    <row r="12">
      <c r="A12" s="7">
        <v>2.0</v>
      </c>
      <c r="B12" s="7">
        <v>10.0</v>
      </c>
      <c r="C12" s="7" t="s">
        <v>16</v>
      </c>
      <c r="D12" s="7">
        <f>IF($A12="","",SUMIFS(YouTube_Long!G:G,YouTube_Long!A:A,$A12,YouTube_Long!B:B,$B12))</f>
        <v>109967</v>
      </c>
      <c r="E12" s="7">
        <f>IF($A12="","",SUMIFS(YouTube_Long!H:H,YouTube_Long!A:A,$A12,YouTube_Long!B:B,$B12))</f>
        <v>1458413</v>
      </c>
      <c r="F12" s="9">
        <f>IF($A12="","",SUMIFS(YouTube_Long!I:I,YouTube_Long!A:A,$A12,YouTube_Long!B:B,$B12))</f>
        <v>0.053</v>
      </c>
      <c r="G12" s="7">
        <f>YouTube_Shorts!D12</f>
        <v>5</v>
      </c>
      <c r="H12" s="8">
        <f>sum(YouTube_Shorts!F12,YouTube_Shorts!I12,YouTube_Shorts!L12,YouTube_Shorts!O12,YouTube_Shorts!R12,YouTube_Shorts!U12,YouTube_Shorts!X12,YouTube_Shorts!AA12)</f>
        <v>56937</v>
      </c>
      <c r="I12" s="8">
        <f>sum(YouTube_Shorts!G12,YouTube_Shorts!J12,YouTube_Shorts!M12,YouTube_Shorts!P12,YouTube_Shorts!S12,YouTube_Shorts!V12,YouTube_Shorts!Y12,YouTube_Shorts!AB12)</f>
        <v>183243</v>
      </c>
      <c r="J12" s="8">
        <f t="shared" si="1"/>
        <v>166904</v>
      </c>
      <c r="K12" s="7">
        <f>Audio!F12</f>
        <v>637</v>
      </c>
      <c r="L12" s="7">
        <f>TikTok_Posts!E12</f>
        <v>4</v>
      </c>
      <c r="M12" s="7">
        <f>IF($A12="","",SUMIFS(TikTok_Posts!G:G,TikTok_Posts!A:A,$A12,TikTok_Posts!B:B,$B12))</f>
        <v>16217</v>
      </c>
      <c r="N12" s="7">
        <f>Instagram_Posts!D12</f>
        <v>2</v>
      </c>
      <c r="O12" s="7">
        <f>IF($A12="","",SUMIFS(Instagram_Posts!E:E,Instagram_Posts!A:A,$A12,Instagram_Posts!B:B,$B12))</f>
        <v>2400</v>
      </c>
      <c r="P12" s="7">
        <f>Blog!E12</f>
        <v>223</v>
      </c>
      <c r="Q12" s="7">
        <f>IF($A12="","",COUNTIFS(LinkedIn_Posts!A:A,$A12,LinkedIn_Posts!B:B,$B12))</f>
        <v>1</v>
      </c>
      <c r="R12" s="7">
        <f>IF($A12="","",SUMIFS(LinkedIn_Posts!F:F,LinkedIn_Posts!A:A,$A12,LinkedIn_Posts!B:B,$B12))</f>
        <v>0</v>
      </c>
      <c r="S12" s="7">
        <f>IF($A12="","",SUMIFS(LinkedIn_Posts!G:G,LinkedIn_Posts!A:A,$A12,LinkedIn_Posts!B:B,$B12))</f>
        <v>0</v>
      </c>
      <c r="T12" s="7">
        <f>IF($A12="","",SUMIFS(LinkedIn_Posts!H:H,LinkedIn_Posts!A:A,$A12,LinkedIn_Posts!B:B,$B12))</f>
        <v>0</v>
      </c>
      <c r="U12" s="7">
        <f>IF($A12="","",SUMIFS(LinkedIn_Posts!I:I,LinkedIn_Posts!A:A,$A12,LinkedIn_Posts!B:B,$B12))</f>
        <v>0</v>
      </c>
    </row>
    <row r="13">
      <c r="A13" s="7">
        <v>3.0</v>
      </c>
      <c r="B13" s="7">
        <v>11.0</v>
      </c>
      <c r="C13" s="7" t="s">
        <v>17</v>
      </c>
      <c r="D13" s="7">
        <f>IF($A13="","",SUMIFS(YouTube_Long!G:G,YouTube_Long!A:A,$A13,YouTube_Long!B:B,$B13))</f>
        <v>163250</v>
      </c>
      <c r="E13" s="7">
        <f>IF($A13="","",SUMIFS(YouTube_Long!H:H,YouTube_Long!A:A,$A13,YouTube_Long!B:B,$B13))</f>
        <v>2769055</v>
      </c>
      <c r="F13" s="9">
        <f>IF($A13="","",SUMIFS(YouTube_Long!I:I,YouTube_Long!A:A,$A13,YouTube_Long!B:B,$B13))</f>
        <v>0.037</v>
      </c>
      <c r="G13" s="7">
        <f>YouTube_Shorts!D13</f>
        <v>3</v>
      </c>
      <c r="H13" s="8">
        <f>sum(YouTube_Shorts!F13,YouTube_Shorts!I13,YouTube_Shorts!L13,YouTube_Shorts!O13,YouTube_Shorts!R13,YouTube_Shorts!U13,YouTube_Shorts!X13,YouTube_Shorts!AA13)</f>
        <v>13893</v>
      </c>
      <c r="I13" s="8">
        <f>sum(YouTube_Shorts!G13,YouTube_Shorts!J13,YouTube_Shorts!M13,YouTube_Shorts!P13,YouTube_Shorts!S13,YouTube_Shorts!V13,YouTube_Shorts!Y13,YouTube_Shorts!AB13)</f>
        <v>174703</v>
      </c>
      <c r="J13" s="8">
        <f t="shared" si="1"/>
        <v>177143</v>
      </c>
      <c r="K13" s="7">
        <f>Audio!F13</f>
        <v>647</v>
      </c>
      <c r="L13" s="7">
        <f>TikTok_Posts!E13</f>
        <v>4</v>
      </c>
      <c r="M13" s="7">
        <f>IF($A13="","",SUMIFS(TikTok_Posts!G:G,TikTok_Posts!A:A,$A13,TikTok_Posts!B:B,$B13))</f>
        <v>2257</v>
      </c>
      <c r="N13" s="7">
        <f>Instagram_Posts!D13</f>
        <v>5</v>
      </c>
      <c r="O13" s="7">
        <f>IF($A13="","",SUMIFS(Instagram_Posts!E:E,Instagram_Posts!A:A,$A13,Instagram_Posts!B:B,$B13))</f>
        <v>3500</v>
      </c>
      <c r="P13" s="7">
        <f>Blog!E13</f>
        <v>114</v>
      </c>
      <c r="Q13" s="7">
        <f>IF($A13="","",COUNTIFS(LinkedIn_Posts!A:A,$A13,LinkedIn_Posts!B:B,$B13))</f>
        <v>1</v>
      </c>
      <c r="R13" s="7">
        <f>IF($A13="","",SUMIFS(LinkedIn_Posts!F:F,LinkedIn_Posts!A:A,$A13,LinkedIn_Posts!B:B,$B13))</f>
        <v>0</v>
      </c>
      <c r="S13" s="7">
        <f>IF($A13="","",SUMIFS(LinkedIn_Posts!G:G,LinkedIn_Posts!A:A,$A13,LinkedIn_Posts!B:B,$B13))</f>
        <v>0</v>
      </c>
      <c r="T13" s="7">
        <f>IF($A13="","",SUMIFS(LinkedIn_Posts!H:H,LinkedIn_Posts!A:A,$A13,LinkedIn_Posts!B:B,$B13))</f>
        <v>0</v>
      </c>
      <c r="U13" s="7">
        <f>IF($A13="","",SUMIFS(LinkedIn_Posts!I:I,LinkedIn_Posts!A:A,$A13,LinkedIn_Posts!B:B,$B13))</f>
        <v>0</v>
      </c>
    </row>
    <row r="14">
      <c r="A14" s="7">
        <v>3.0</v>
      </c>
      <c r="B14" s="7">
        <v>12.0</v>
      </c>
      <c r="C14" s="7" t="s">
        <v>18</v>
      </c>
      <c r="D14" s="7">
        <f>IF($A14="","",SUMIFS(YouTube_Long!G:G,YouTube_Long!A:A,$A14,YouTube_Long!B:B,$B14))</f>
        <v>21443</v>
      </c>
      <c r="E14" s="7">
        <f>IF($A14="","",SUMIFS(YouTube_Long!H:H,YouTube_Long!A:A,$A14,YouTube_Long!B:B,$B14))</f>
        <v>267489</v>
      </c>
      <c r="F14" s="9">
        <f>IF($A14="","",SUMIFS(YouTube_Long!I:I,YouTube_Long!A:A,$A14,YouTube_Long!B:B,$B14))</f>
        <v>0.059</v>
      </c>
      <c r="G14" s="7">
        <f>YouTube_Shorts!D14</f>
        <v>1</v>
      </c>
      <c r="H14" s="8">
        <f>sum(YouTube_Shorts!F14,YouTube_Shorts!I14,YouTube_Shorts!L14,YouTube_Shorts!O14,YouTube_Shorts!R14,YouTube_Shorts!U14,YouTube_Shorts!X14,YouTube_Shorts!AA14)</f>
        <v>3851</v>
      </c>
      <c r="I14" s="8">
        <f>sum(YouTube_Shorts!G14,YouTube_Shorts!J14,YouTube_Shorts!M14,YouTube_Shorts!P14,YouTube_Shorts!S14,YouTube_Shorts!V14,YouTube_Shorts!Y14,YouTube_Shorts!AB14)</f>
        <v>28390</v>
      </c>
      <c r="J14" s="8">
        <f t="shared" si="1"/>
        <v>25294</v>
      </c>
      <c r="K14" s="7">
        <f>Audio!F14</f>
        <v>694</v>
      </c>
      <c r="L14" s="7">
        <f>TikTok_Posts!E14</f>
        <v>0</v>
      </c>
      <c r="M14" s="7">
        <f>IF($A14="","",SUMIFS(TikTok_Posts!G:G,TikTok_Posts!A:A,$A14,TikTok_Posts!B:B,$B14))</f>
        <v>0</v>
      </c>
      <c r="N14" s="7">
        <f>Instagram_Posts!D14</f>
        <v>3</v>
      </c>
      <c r="O14" s="7">
        <f>IF($A14="","",SUMIFS(Instagram_Posts!E:E,Instagram_Posts!A:A,$A14,Instagram_Posts!B:B,$B14))</f>
        <v>2000</v>
      </c>
      <c r="P14" s="7">
        <f>Blog!E14</f>
        <v>163</v>
      </c>
      <c r="Q14" s="7">
        <f>IF($A14="","",COUNTIFS(LinkedIn_Posts!A:A,$A14,LinkedIn_Posts!B:B,$B14))</f>
        <v>1</v>
      </c>
      <c r="R14" s="7">
        <f>IF($A14="","",SUMIFS(LinkedIn_Posts!F:F,LinkedIn_Posts!A:A,$A14,LinkedIn_Posts!B:B,$B14))</f>
        <v>0</v>
      </c>
      <c r="S14" s="7">
        <f>IF($A14="","",SUMIFS(LinkedIn_Posts!G:G,LinkedIn_Posts!A:A,$A14,LinkedIn_Posts!B:B,$B14))</f>
        <v>0</v>
      </c>
      <c r="T14" s="7">
        <f>IF($A14="","",SUMIFS(LinkedIn_Posts!H:H,LinkedIn_Posts!A:A,$A14,LinkedIn_Posts!B:B,$B14))</f>
        <v>0</v>
      </c>
      <c r="U14" s="7">
        <f>IF($A14="","",SUMIFS(LinkedIn_Posts!I:I,LinkedIn_Posts!A:A,$A14,LinkedIn_Posts!B:B,$B14))</f>
        <v>0</v>
      </c>
    </row>
    <row r="15">
      <c r="A15" s="7">
        <v>3.0</v>
      </c>
      <c r="B15" s="7">
        <v>13.0</v>
      </c>
      <c r="C15" s="7" t="s">
        <v>19</v>
      </c>
      <c r="D15" s="7">
        <f>IF($A15="","",SUMIFS(YouTube_Long!G:G,YouTube_Long!A:A,$A15,YouTube_Long!B:B,$B15))</f>
        <v>769</v>
      </c>
      <c r="E15" s="7">
        <f>IF($A15="","",SUMIFS(YouTube_Long!H:H,YouTube_Long!A:A,$A15,YouTube_Long!B:B,$B15))</f>
        <v>11661</v>
      </c>
      <c r="F15" s="9">
        <f>IF($A15="","",SUMIFS(YouTube_Long!I:I,YouTube_Long!A:A,$A15,YouTube_Long!B:B,$B15))</f>
        <v>0.031</v>
      </c>
      <c r="G15" s="7">
        <f>YouTube_Shorts!D15</f>
        <v>3</v>
      </c>
      <c r="H15" s="8">
        <f>sum(YouTube_Shorts!F15,YouTube_Shorts!I15,YouTube_Shorts!L15,YouTube_Shorts!O15,YouTube_Shorts!R15,YouTube_Shorts!U15,YouTube_Shorts!X15,YouTube_Shorts!AA15)</f>
        <v>7553</v>
      </c>
      <c r="I15" s="8">
        <f>sum(YouTube_Shorts!G15,YouTube_Shorts!J15,YouTube_Shorts!M15,YouTube_Shorts!P15,YouTube_Shorts!S15,YouTube_Shorts!V15,YouTube_Shorts!Y15,YouTube_Shorts!AB15)</f>
        <v>12189</v>
      </c>
      <c r="J15" s="8">
        <f t="shared" si="1"/>
        <v>8322</v>
      </c>
      <c r="K15" s="7">
        <f>Audio!F15</f>
        <v>441</v>
      </c>
      <c r="L15" s="7">
        <f>TikTok_Posts!E15</f>
        <v>4</v>
      </c>
      <c r="M15" s="7">
        <f>IF($A15="","",SUMIFS(TikTok_Posts!G:G,TikTok_Posts!A:A,$A15,TikTok_Posts!B:B,$B15))</f>
        <v>3100</v>
      </c>
      <c r="N15" s="7">
        <f>Instagram_Posts!D15</f>
        <v>6</v>
      </c>
      <c r="O15" s="7">
        <f>IF($A15="","",SUMIFS(Instagram_Posts!E:E,Instagram_Posts!A:A,$A15,Instagram_Posts!B:B,$B15))</f>
        <v>4200</v>
      </c>
      <c r="P15" s="7">
        <f>Blog!E15</f>
        <v>124</v>
      </c>
      <c r="Q15" s="7">
        <f>IF($A15="","",COUNTIFS(LinkedIn_Posts!A:A,$A15,LinkedIn_Posts!B:B,$B15))</f>
        <v>1</v>
      </c>
      <c r="R15" s="7">
        <f>IF($A15="","",SUMIFS(LinkedIn_Posts!F:F,LinkedIn_Posts!A:A,$A15,LinkedIn_Posts!B:B,$B15))</f>
        <v>0</v>
      </c>
      <c r="S15" s="7">
        <f>IF($A15="","",SUMIFS(LinkedIn_Posts!G:G,LinkedIn_Posts!A:A,$A15,LinkedIn_Posts!B:B,$B15))</f>
        <v>0</v>
      </c>
      <c r="T15" s="7">
        <f>IF($A15="","",SUMIFS(LinkedIn_Posts!H:H,LinkedIn_Posts!A:A,$A15,LinkedIn_Posts!B:B,$B15))</f>
        <v>0</v>
      </c>
      <c r="U15" s="7">
        <f>IF($A15="","",SUMIFS(LinkedIn_Posts!I:I,LinkedIn_Posts!A:A,$A15,LinkedIn_Posts!B:B,$B15))</f>
        <v>0</v>
      </c>
    </row>
    <row r="16">
      <c r="A16" s="7">
        <v>3.0</v>
      </c>
      <c r="B16" s="7">
        <v>14.0</v>
      </c>
      <c r="C16" s="7" t="s">
        <v>20</v>
      </c>
      <c r="D16" s="7">
        <f>IF($A16="","",SUMIFS(YouTube_Long!G:G,YouTube_Long!A:A,$A16,YouTube_Long!B:B,$B16))</f>
        <v>575</v>
      </c>
      <c r="E16" s="7">
        <f>IF($A16="","",SUMIFS(YouTube_Long!H:H,YouTube_Long!A:A,$A16,YouTube_Long!B:B,$B16))</f>
        <v>6852</v>
      </c>
      <c r="F16" s="9">
        <f>IF($A16="","",SUMIFS(YouTube_Long!I:I,YouTube_Long!A:A,$A16,YouTube_Long!B:B,$B16))</f>
        <v>0.026</v>
      </c>
      <c r="G16" s="7">
        <f>YouTube_Shorts!D16</f>
        <v>3</v>
      </c>
      <c r="H16" s="8">
        <f>sum(YouTube_Shorts!F16,YouTube_Shorts!I16,YouTube_Shorts!L16,YouTube_Shorts!O16,YouTube_Shorts!R16,YouTube_Shorts!U16,YouTube_Shorts!X16,YouTube_Shorts!AA16)</f>
        <v>2705</v>
      </c>
      <c r="I16" s="8">
        <f>sum(YouTube_Shorts!G16,YouTube_Shorts!J16,YouTube_Shorts!M16,YouTube_Shorts!P16,YouTube_Shorts!S16,YouTube_Shorts!V16,YouTube_Shorts!Y16,YouTube_Shorts!AB16)</f>
        <v>9388</v>
      </c>
      <c r="J16" s="8">
        <f t="shared" si="1"/>
        <v>3280</v>
      </c>
      <c r="K16" s="7">
        <f>Audio!F16</f>
        <v>430</v>
      </c>
      <c r="L16" s="7">
        <f>TikTok_Posts!E16</f>
        <v>2</v>
      </c>
      <c r="M16" s="7">
        <f>IF($A16="","",SUMIFS(TikTok_Posts!G:G,TikTok_Posts!A:A,$A16,TikTok_Posts!B:B,$B16))</f>
        <v>2356</v>
      </c>
      <c r="N16" s="7">
        <f>Instagram_Posts!D16</f>
        <v>3</v>
      </c>
      <c r="O16" s="7">
        <f>IF($A16="","",SUMIFS(Instagram_Posts!E:E,Instagram_Posts!A:A,$A16,Instagram_Posts!B:B,$B16))</f>
        <v>2100</v>
      </c>
      <c r="P16" s="7">
        <f>Blog!E16</f>
        <v>138</v>
      </c>
      <c r="Q16" s="7">
        <f>IF($A16="","",COUNTIFS(LinkedIn_Posts!A:A,$A16,LinkedIn_Posts!B:B,$B16))</f>
        <v>1</v>
      </c>
      <c r="R16" s="7">
        <f>IF($A16="","",SUMIFS(LinkedIn_Posts!F:F,LinkedIn_Posts!A:A,$A16,LinkedIn_Posts!B:B,$B16))</f>
        <v>0</v>
      </c>
      <c r="S16" s="7">
        <f>IF($A16="","",SUMIFS(LinkedIn_Posts!G:G,LinkedIn_Posts!A:A,$A16,LinkedIn_Posts!B:B,$B16))</f>
        <v>0</v>
      </c>
      <c r="T16" s="7">
        <f>IF($A16="","",SUMIFS(LinkedIn_Posts!H:H,LinkedIn_Posts!A:A,$A16,LinkedIn_Posts!B:B,$B16))</f>
        <v>0</v>
      </c>
      <c r="U16" s="7">
        <f>IF($A16="","",SUMIFS(LinkedIn_Posts!I:I,LinkedIn_Posts!A:A,$A16,LinkedIn_Posts!B:B,$B16))</f>
        <v>0</v>
      </c>
    </row>
    <row r="17">
      <c r="A17" s="7">
        <v>3.0</v>
      </c>
      <c r="B17" s="7">
        <v>15.0</v>
      </c>
      <c r="C17" s="7" t="s">
        <v>21</v>
      </c>
      <c r="D17" s="7">
        <f>IF($A17="","",SUMIFS(YouTube_Long!G:G,YouTube_Long!A:A,$A17,YouTube_Long!B:B,$B17))</f>
        <v>2278</v>
      </c>
      <c r="E17" s="7">
        <f>IF($A17="","",SUMIFS(YouTube_Long!H:H,YouTube_Long!A:A,$A17,YouTube_Long!B:B,$B17))</f>
        <v>18579</v>
      </c>
      <c r="F17" s="9">
        <f>IF($A17="","",SUMIFS(YouTube_Long!I:I,YouTube_Long!A:A,$A17,YouTube_Long!B:B,$B17))</f>
        <v>0.063</v>
      </c>
      <c r="G17" s="7">
        <f>YouTube_Shorts!D17</f>
        <v>2</v>
      </c>
      <c r="H17" s="8">
        <f>sum(YouTube_Shorts!F17,YouTube_Shorts!I17,YouTube_Shorts!L17,YouTube_Shorts!O17,YouTube_Shorts!R17,YouTube_Shorts!U17,YouTube_Shorts!X17,YouTube_Shorts!AA17)</f>
        <v>4014</v>
      </c>
      <c r="I17" s="8">
        <f>sum(YouTube_Shorts!G17,YouTube_Shorts!J17,YouTube_Shorts!M17,YouTube_Shorts!P17,YouTube_Shorts!S17,YouTube_Shorts!V17,YouTube_Shorts!Y17,YouTube_Shorts!AB17)</f>
        <v>14473</v>
      </c>
      <c r="J17" s="8">
        <f t="shared" si="1"/>
        <v>6292</v>
      </c>
      <c r="K17" s="7">
        <f>Audio!F17</f>
        <v>578</v>
      </c>
      <c r="L17" s="7">
        <f>TikTok_Posts!E17</f>
        <v>3</v>
      </c>
      <c r="M17" s="7">
        <f>IF($A17="","",SUMIFS(TikTok_Posts!G:G,TikTok_Posts!A:A,$A17,TikTok_Posts!B:B,$B17))</f>
        <v>2816</v>
      </c>
      <c r="N17" s="7">
        <f>Instagram_Posts!D17</f>
        <v>3</v>
      </c>
      <c r="O17" s="7">
        <f>IF($A17="","",SUMIFS(Instagram_Posts!E:E,Instagram_Posts!A:A,$A17,Instagram_Posts!B:B,$B17))</f>
        <v>3100</v>
      </c>
      <c r="P17" s="7">
        <f>Blog!E17</f>
        <v>288</v>
      </c>
      <c r="Q17" s="7">
        <f>IF($A17="","",COUNTIFS(LinkedIn_Posts!A:A,$A17,LinkedIn_Posts!B:B,$B17))</f>
        <v>1</v>
      </c>
      <c r="R17" s="7">
        <f>IF($A17="","",SUMIFS(LinkedIn_Posts!F:F,LinkedIn_Posts!A:A,$A17,LinkedIn_Posts!B:B,$B17))</f>
        <v>0</v>
      </c>
      <c r="S17" s="7">
        <f>IF($A17="","",SUMIFS(LinkedIn_Posts!G:G,LinkedIn_Posts!A:A,$A17,LinkedIn_Posts!B:B,$B17))</f>
        <v>0</v>
      </c>
      <c r="T17" s="7">
        <f>IF($A17="","",SUMIFS(LinkedIn_Posts!H:H,LinkedIn_Posts!A:A,$A17,LinkedIn_Posts!B:B,$B17))</f>
        <v>0</v>
      </c>
      <c r="U17" s="7">
        <f>IF($A17="","",SUMIFS(LinkedIn_Posts!I:I,LinkedIn_Posts!A:A,$A17,LinkedIn_Posts!B:B,$B17))</f>
        <v>0</v>
      </c>
    </row>
    <row r="18">
      <c r="A18" s="7">
        <v>4.0</v>
      </c>
      <c r="B18" s="7">
        <v>16.0</v>
      </c>
      <c r="C18" s="7" t="s">
        <v>22</v>
      </c>
      <c r="D18" s="7">
        <f>IF($A18="","",SUMIFS(YouTube_Long!G:G,YouTube_Long!A:A,$A18,YouTube_Long!B:B,$B18))</f>
        <v>106823</v>
      </c>
      <c r="E18" s="7">
        <f>IF($A18="","",SUMIFS(YouTube_Long!H:H,YouTube_Long!A:A,$A18,YouTube_Long!B:B,$B18))</f>
        <v>1675638</v>
      </c>
      <c r="F18" s="9">
        <f>IF($A18="","",SUMIFS(YouTube_Long!I:I,YouTube_Long!A:A,$A18,YouTube_Long!B:B,$B18))</f>
        <v>0.049</v>
      </c>
      <c r="G18" s="7">
        <f>YouTube_Shorts!D18</f>
        <v>8</v>
      </c>
      <c r="H18" s="8">
        <f>sum(YouTube_Shorts!F18,YouTube_Shorts!I18,YouTube_Shorts!L18,YouTube_Shorts!O18,YouTube_Shorts!R18,YouTube_Shorts!U18,YouTube_Shorts!X18,YouTube_Shorts!AA18)</f>
        <v>21806</v>
      </c>
      <c r="I18" s="8">
        <f>sum(YouTube_Shorts!G18,YouTube_Shorts!J18,YouTube_Shorts!M18,YouTube_Shorts!P18,YouTube_Shorts!S18,YouTube_Shorts!V18,YouTube_Shorts!Y18,YouTube_Shorts!AB18)</f>
        <v>53771</v>
      </c>
      <c r="J18" s="8">
        <f t="shared" si="1"/>
        <v>128629</v>
      </c>
      <c r="K18" s="7">
        <f>Audio!F18</f>
        <v>445</v>
      </c>
      <c r="L18" s="7">
        <f>TikTok_Posts!E18</f>
        <v>7</v>
      </c>
      <c r="M18" s="7">
        <f>IF($A18="","",SUMIFS(TikTok_Posts!G:G,TikTok_Posts!A:A,$A18,TikTok_Posts!B:B,$B18))</f>
        <v>3632</v>
      </c>
      <c r="N18" s="7">
        <f>Instagram_Posts!D18</f>
        <v>8</v>
      </c>
      <c r="O18" s="7">
        <f>IF($A18="","",SUMIFS(Instagram_Posts!E:E,Instagram_Posts!A:A,$A18,Instagram_Posts!B:B,$B18))</f>
        <v>10153</v>
      </c>
      <c r="P18" s="7">
        <f>Blog!E18</f>
        <v>86</v>
      </c>
      <c r="Q18" s="7">
        <f>IF($A18="","",COUNTIFS(LinkedIn_Posts!A:A,$A18,LinkedIn_Posts!B:B,$B18))</f>
        <v>1</v>
      </c>
      <c r="R18" s="7">
        <f>IF($A18="","",SUMIFS(LinkedIn_Posts!F:F,LinkedIn_Posts!A:A,$A18,LinkedIn_Posts!B:B,$B18))</f>
        <v>0</v>
      </c>
      <c r="S18" s="7">
        <f>IF($A18="","",SUMIFS(LinkedIn_Posts!G:G,LinkedIn_Posts!A:A,$A18,LinkedIn_Posts!B:B,$B18))</f>
        <v>0</v>
      </c>
      <c r="T18" s="7">
        <f>IF($A18="","",SUMIFS(LinkedIn_Posts!H:H,LinkedIn_Posts!A:A,$A18,LinkedIn_Posts!B:B,$B18))</f>
        <v>0</v>
      </c>
      <c r="U18" s="7">
        <f>IF($A18="","",SUMIFS(LinkedIn_Posts!I:I,LinkedIn_Posts!A:A,$A18,LinkedIn_Posts!B:B,$B18))</f>
        <v>0</v>
      </c>
    </row>
    <row r="19">
      <c r="A19" s="7">
        <v>4.0</v>
      </c>
      <c r="B19" s="7">
        <v>17.0</v>
      </c>
      <c r="C19" s="7" t="s">
        <v>23</v>
      </c>
      <c r="D19" s="7">
        <f>IF($A19="","",SUMIFS(YouTube_Long!G:G,YouTube_Long!A:A,$A19,YouTube_Long!B:B,$B19))</f>
        <v>9584</v>
      </c>
      <c r="E19" s="7">
        <f>IF($A19="","",SUMIFS(YouTube_Long!H:H,YouTube_Long!A:A,$A19,YouTube_Long!B:B,$B19))</f>
        <v>131520</v>
      </c>
      <c r="F19" s="9">
        <f>IF($A19="","",SUMIFS(YouTube_Long!I:I,YouTube_Long!A:A,$A19,YouTube_Long!B:B,$B19))</f>
        <v>0.049</v>
      </c>
      <c r="G19" s="7">
        <f>YouTube_Shorts!D19</f>
        <v>3</v>
      </c>
      <c r="H19" s="8">
        <f>sum(YouTube_Shorts!F19,YouTube_Shorts!I19,YouTube_Shorts!L19,YouTube_Shorts!O19,YouTube_Shorts!R19,YouTube_Shorts!U19,YouTube_Shorts!X19,YouTube_Shorts!AA19)</f>
        <v>5219</v>
      </c>
      <c r="I19" s="8">
        <f>sum(YouTube_Shorts!G19,YouTube_Shorts!J19,YouTube_Shorts!M19,YouTube_Shorts!P19,YouTube_Shorts!S19,YouTube_Shorts!V19,YouTube_Shorts!Y19,YouTube_Shorts!AB19)</f>
        <v>16857</v>
      </c>
      <c r="J19" s="8">
        <f t="shared" si="1"/>
        <v>14803</v>
      </c>
      <c r="K19" s="7">
        <f>Audio!F19</f>
        <v>524</v>
      </c>
      <c r="L19" s="7">
        <f>TikTok_Posts!E19</f>
        <v>2</v>
      </c>
      <c r="M19" s="7">
        <f>IF($A19="","",SUMIFS(TikTok_Posts!G:G,TikTok_Posts!A:A,$A19,TikTok_Posts!B:B,$B19))</f>
        <v>1742</v>
      </c>
      <c r="N19" s="7">
        <f>Instagram_Posts!D19</f>
        <v>2</v>
      </c>
      <c r="O19" s="7">
        <f>IF($A19="","",SUMIFS(Instagram_Posts!E:E,Instagram_Posts!A:A,$A19,Instagram_Posts!B:B,$B19))</f>
        <v>2720</v>
      </c>
      <c r="P19" s="7">
        <f>Blog!E19</f>
        <v>49</v>
      </c>
      <c r="Q19" s="7">
        <f>IF($A19="","",COUNTIFS(LinkedIn_Posts!A:A,$A19,LinkedIn_Posts!B:B,$B19))</f>
        <v>1</v>
      </c>
      <c r="R19" s="7">
        <f>IF($A19="","",SUMIFS(LinkedIn_Posts!F:F,LinkedIn_Posts!A:A,$A19,LinkedIn_Posts!B:B,$B19))</f>
        <v>0</v>
      </c>
      <c r="S19" s="7">
        <f>IF($A19="","",SUMIFS(LinkedIn_Posts!G:G,LinkedIn_Posts!A:A,$A19,LinkedIn_Posts!B:B,$B19))</f>
        <v>0</v>
      </c>
      <c r="T19" s="7">
        <f>IF($A19="","",SUMIFS(LinkedIn_Posts!H:H,LinkedIn_Posts!A:A,$A19,LinkedIn_Posts!B:B,$B19))</f>
        <v>0</v>
      </c>
      <c r="U19" s="7">
        <f>IF($A19="","",SUMIFS(LinkedIn_Posts!I:I,LinkedIn_Posts!A:A,$A19,LinkedIn_Posts!B:B,$B19))</f>
        <v>0</v>
      </c>
    </row>
    <row r="20">
      <c r="A20" s="7">
        <v>4.0</v>
      </c>
      <c r="B20" s="7">
        <v>18.0</v>
      </c>
      <c r="C20" s="7" t="s">
        <v>24</v>
      </c>
      <c r="D20" s="7">
        <f>IF($A20="","",SUMIFS(YouTube_Long!G:G,YouTube_Long!A:A,$A20,YouTube_Long!B:B,$B20))</f>
        <v>520</v>
      </c>
      <c r="E20" s="7">
        <f>IF($A20="","",SUMIFS(YouTube_Long!H:H,YouTube_Long!A:A,$A20,YouTube_Long!B:B,$B20))</f>
        <v>11083</v>
      </c>
      <c r="F20" s="9">
        <f>IF($A20="","",SUMIFS(YouTube_Long!I:I,YouTube_Long!A:A,$A20,YouTube_Long!B:B,$B20))</f>
        <v>0.025</v>
      </c>
      <c r="G20" s="7">
        <f>YouTube_Shorts!D20</f>
        <v>0</v>
      </c>
      <c r="H20" s="7">
        <f>sum(YouTube_Shorts!F20,YouTube_Shorts!I20,YouTube_Shorts!L20,YouTube_Shorts!O20,YouTube_Shorts!R20,YouTube_Shorts!U20,YouTube_Shorts!X20,YouTube_Shorts!AA20)</f>
        <v>0</v>
      </c>
      <c r="I20" s="7">
        <f>sum(YouTube_Shorts!G20,YouTube_Shorts!J20,YouTube_Shorts!M20,YouTube_Shorts!P20,YouTube_Shorts!S20,YouTube_Shorts!V20,YouTube_Shorts!Y20,YouTube_Shorts!AB20)</f>
        <v>0</v>
      </c>
      <c r="J20" s="7">
        <f t="shared" si="1"/>
        <v>520</v>
      </c>
      <c r="K20" s="7">
        <f>Audio!F20</f>
        <v>392</v>
      </c>
      <c r="L20" s="7">
        <f>TikTok_Posts!E20</f>
        <v>0</v>
      </c>
      <c r="M20" s="7">
        <f>IF($A20="","",SUMIFS(TikTok_Posts!G:G,TikTok_Posts!A:A,$A20,TikTok_Posts!B:B,$B20))</f>
        <v>0</v>
      </c>
      <c r="N20" s="7">
        <f>Instagram_Posts!D20</f>
        <v>0</v>
      </c>
      <c r="O20" s="7">
        <f>IF($A20="","",SUMIFS(Instagram_Posts!E:E,Instagram_Posts!A:A,$A20,Instagram_Posts!B:B,$B20))</f>
        <v>0</v>
      </c>
      <c r="P20" s="7" t="str">
        <f>Blog!E20</f>
        <v/>
      </c>
      <c r="Q20" s="7">
        <f>IF($A20="","",COUNTIFS(LinkedIn_Posts!A:A,$A20,LinkedIn_Posts!B:B,$B20))</f>
        <v>1</v>
      </c>
      <c r="R20" s="7">
        <f>IF($A20="","",SUMIFS(LinkedIn_Posts!F:F,LinkedIn_Posts!A:A,$A20,LinkedIn_Posts!B:B,$B20))</f>
        <v>0</v>
      </c>
      <c r="S20" s="7">
        <f>IF($A20="","",SUMIFS(LinkedIn_Posts!G:G,LinkedIn_Posts!A:A,$A20,LinkedIn_Posts!B:B,$B20))</f>
        <v>0</v>
      </c>
      <c r="T20" s="7">
        <f>IF($A20="","",SUMIFS(LinkedIn_Posts!H:H,LinkedIn_Posts!A:A,$A20,LinkedIn_Posts!B:B,$B20))</f>
        <v>0</v>
      </c>
      <c r="U20" s="7">
        <f>IF($A20="","",SUMIFS(LinkedIn_Posts!I:I,LinkedIn_Posts!A:A,$A20,LinkedIn_Posts!B:B,$B20))</f>
        <v>0</v>
      </c>
    </row>
    <row r="21">
      <c r="A21" s="7" t="s">
        <v>47</v>
      </c>
      <c r="B21" s="7" t="s">
        <v>47</v>
      </c>
      <c r="C21" s="7" t="s">
        <v>47</v>
      </c>
      <c r="D21" s="7" t="str">
        <f>IF($A21="","",SUMIFS(YouTube_Long!G:G,YouTube_Long!A:A,$A21,YouTube_Long!B:B,$B21))</f>
        <v/>
      </c>
      <c r="E21" s="7" t="str">
        <f>IF($A21="","",SUMIFS(YouTube_Long!H:H,YouTube_Long!A:A,$A21,YouTube_Long!B:B,$B21))</f>
        <v/>
      </c>
      <c r="F21" s="7" t="str">
        <f>IF($A21="","",SUMIFS(YouTube_Long!I:I,YouTube_Long!A:A,$A21,YouTube_Long!B:B,$B21))</f>
        <v/>
      </c>
      <c r="G21" s="7" t="str">
        <f>IF($A21="","",COUNTIFS(YouTube_Shorts!A:A,$A21,YouTube_Shorts!B:B,$B21))</f>
        <v/>
      </c>
      <c r="H21" s="7" t="str">
        <f>IF($A21="","",SUMIFS(YouTube_Shorts!F:F,YouTube_Shorts!A:A,$A21,YouTube_Shorts!B:B,$B21))</f>
        <v/>
      </c>
      <c r="I21" s="7" t="str">
        <f>IF($A21="","",SUMIFS(YouTube_Shorts!G:G,YouTube_Shorts!A:A,$A21,YouTube_Shorts!B:B,$B21))</f>
        <v/>
      </c>
      <c r="J21" s="7" t="str">
        <f t="shared" si="1"/>
        <v/>
      </c>
      <c r="K21" s="7" t="str">
        <f>Audio!F21</f>
        <v/>
      </c>
      <c r="L21" s="7" t="str">
        <f>IF($A21="","",COUNTIFS(TikTok_Posts!A:A,$A21,TikTok_Posts!B:B,$B21))</f>
        <v/>
      </c>
      <c r="M21" s="7" t="str">
        <f>IF($A21="","",SUMIFS(TikTok_Posts!E:E,TikTok_Posts!A:A,$A21,TikTok_Posts!B:B,$B21))</f>
        <v/>
      </c>
      <c r="N21" s="7" t="str">
        <f>IF($A21="","",COUNTIFS(Instagram_Posts!A:A,$A21,Instagram_Posts!B:B,$B21))</f>
        <v/>
      </c>
      <c r="O21" s="7" t="str">
        <f>IF($A21="","",SUMIFS(Instagram_Posts!E:E,Instagram_Posts!A:A,$A21,Instagram_Posts!B:B,$B21))</f>
        <v/>
      </c>
      <c r="P21" s="7" t="str">
        <f>IF($A21="","",SUMIFS(Blog!E:E,Blog!B:B,$A21,Blog!C:C,$B21))</f>
        <v/>
      </c>
      <c r="Q21" s="7" t="str">
        <f>IF($A21="","",COUNTIFS(LinkedIn_Posts!A:A,$A21,LinkedIn_Posts!B:B,$B21))</f>
        <v/>
      </c>
      <c r="R21" s="7" t="str">
        <f>IF($A21="","",SUMIFS(LinkedIn_Posts!F:F,LinkedIn_Posts!A:A,$A21,LinkedIn_Posts!B:B,$B21))</f>
        <v/>
      </c>
      <c r="S21" s="7" t="str">
        <f>IF($A21="","",SUMIFS(LinkedIn_Posts!G:G,LinkedIn_Posts!A:A,$A21,LinkedIn_Posts!B:B,$B21))</f>
        <v/>
      </c>
      <c r="T21" s="7" t="str">
        <f>IF($A21="","",SUMIFS(LinkedIn_Posts!H:H,LinkedIn_Posts!A:A,$A21,LinkedIn_Posts!B:B,$B21))</f>
        <v/>
      </c>
      <c r="U21" s="7" t="str">
        <f>IF($A21="","",SUMIFS(LinkedIn_Posts!I:I,LinkedIn_Posts!A:A,$A21,LinkedIn_Posts!B:B,$B21))</f>
        <v/>
      </c>
    </row>
    <row r="22">
      <c r="A22" s="7" t="s">
        <v>47</v>
      </c>
      <c r="B22" s="7" t="s">
        <v>47</v>
      </c>
      <c r="C22" s="7" t="s">
        <v>47</v>
      </c>
      <c r="D22" s="7" t="str">
        <f>IF($A22="","",SUMIFS(YouTube_Long!G:G,YouTube_Long!A:A,$A22,YouTube_Long!B:B,$B22))</f>
        <v/>
      </c>
      <c r="E22" s="7" t="str">
        <f>IF($A22="","",SUMIFS(YouTube_Long!H:H,YouTube_Long!A:A,$A22,YouTube_Long!B:B,$B22))</f>
        <v/>
      </c>
      <c r="F22" s="7" t="str">
        <f>IF($A22="","",SUMIFS(YouTube_Long!I:I,YouTube_Long!A:A,$A22,YouTube_Long!B:B,$B22))</f>
        <v/>
      </c>
      <c r="G22" s="7" t="str">
        <f>IF($A22="","",COUNTIFS(YouTube_Shorts!A:A,$A22,YouTube_Shorts!B:B,$B22))</f>
        <v/>
      </c>
      <c r="H22" s="7" t="str">
        <f>IF($A22="","",SUMIFS(YouTube_Shorts!F:F,YouTube_Shorts!A:A,$A22,YouTube_Shorts!B:B,$B22))</f>
        <v/>
      </c>
      <c r="J22" s="7" t="str">
        <f t="shared" si="1"/>
        <v/>
      </c>
      <c r="K22" s="7" t="str">
        <f>IF($A22="","",SUMIFS(Audio!D:D,Audio!A:A,$A22,Audio!B:B,$B22))</f>
        <v/>
      </c>
      <c r="L22" s="7" t="str">
        <f>IF($A22="","",COUNTIFS(TikTok_Posts!A:A,$A22,TikTok_Posts!B:B,$B22))</f>
        <v/>
      </c>
      <c r="M22" s="7" t="str">
        <f>IF($A22="","",SUMIFS(TikTok_Posts!E:E,TikTok_Posts!A:A,$A22,TikTok_Posts!B:B,$B22))</f>
        <v/>
      </c>
      <c r="N22" s="7" t="str">
        <f>IF($A22="","",COUNTIFS(Instagram_Posts!A:A,$A22,Instagram_Posts!B:B,$B22))</f>
        <v/>
      </c>
      <c r="O22" s="7" t="str">
        <f>IF($A22="","",SUMIFS(Instagram_Posts!E:E,Instagram_Posts!A:A,$A22,Instagram_Posts!B:B,$B22))</f>
        <v/>
      </c>
      <c r="P22" s="7" t="str">
        <f>IF($A22="","",SUMIFS(Blog!E:E,Blog!B:B,$A22,Blog!C:C,$B22))</f>
        <v/>
      </c>
      <c r="Q22" s="7" t="str">
        <f>IF($A22="","",COUNTIFS(LinkedIn_Posts!A:A,$A22,LinkedIn_Posts!B:B,$B22))</f>
        <v/>
      </c>
      <c r="R22" s="7" t="str">
        <f>IF($A22="","",SUMIFS(LinkedIn_Posts!F:F,LinkedIn_Posts!A:A,$A22,LinkedIn_Posts!B:B,$B22))</f>
        <v/>
      </c>
      <c r="S22" s="7" t="str">
        <f>IF($A22="","",SUMIFS(LinkedIn_Posts!G:G,LinkedIn_Posts!A:A,$A22,LinkedIn_Posts!B:B,$B22))</f>
        <v/>
      </c>
      <c r="T22" s="7" t="str">
        <f>IF($A22="","",SUMIFS(LinkedIn_Posts!H:H,LinkedIn_Posts!A:A,$A22,LinkedIn_Posts!B:B,$B22))</f>
        <v/>
      </c>
      <c r="U22" s="7" t="str">
        <f>IF($A22="","",SUMIFS(LinkedIn_Posts!I:I,LinkedIn_Posts!A:A,$A22,LinkedIn_Posts!B:B,$B22))</f>
        <v/>
      </c>
    </row>
    <row r="23">
      <c r="A23" s="7" t="s">
        <v>47</v>
      </c>
      <c r="B23" s="7" t="s">
        <v>47</v>
      </c>
      <c r="C23" s="7" t="s">
        <v>47</v>
      </c>
      <c r="D23" s="7" t="str">
        <f>IF($A23="","",SUMIFS(YouTube_Long!G:G,YouTube_Long!A:A,$A23,YouTube_Long!B:B,$B23))</f>
        <v/>
      </c>
      <c r="E23" s="7" t="str">
        <f>IF($A23="","",SUMIFS(YouTube_Long!H:H,YouTube_Long!A:A,$A23,YouTube_Long!B:B,$B23))</f>
        <v/>
      </c>
      <c r="F23" s="7" t="str">
        <f>IF($A23="","",SUMIFS(YouTube_Long!I:I,YouTube_Long!A:A,$A23,YouTube_Long!B:B,$B23))</f>
        <v/>
      </c>
      <c r="G23" s="7" t="str">
        <f>IF($A23="","",COUNTIFS(YouTube_Shorts!A:A,$A23,YouTube_Shorts!B:B,$B23))</f>
        <v/>
      </c>
      <c r="H23" s="7" t="str">
        <f>IF($A23="","",SUMIFS(YouTube_Shorts!F:F,YouTube_Shorts!A:A,$A23,YouTube_Shorts!B:B,$B23))</f>
        <v/>
      </c>
      <c r="J23" s="7" t="str">
        <f t="shared" si="1"/>
        <v/>
      </c>
      <c r="L23" s="7" t="str">
        <f>IF($A23="","",COUNTIFS(TikTok_Posts!A:A,$A23,TikTok_Posts!B:B,$B23))</f>
        <v/>
      </c>
      <c r="M23" s="7" t="str">
        <f>IF($A23="","",SUMIFS(TikTok_Posts!E:E,TikTok_Posts!A:A,$A23,TikTok_Posts!B:B,$B23))</f>
        <v/>
      </c>
      <c r="N23" s="7" t="str">
        <f>IF($A23="","",COUNTIFS(Instagram_Posts!A:A,$A23,Instagram_Posts!B:B,$B23))</f>
        <v/>
      </c>
      <c r="O23" s="7" t="str">
        <f>IF($A23="","",SUMIFS(Instagram_Posts!E:E,Instagram_Posts!A:A,$A23,Instagram_Posts!B:B,$B23))</f>
        <v/>
      </c>
      <c r="P23" s="7" t="str">
        <f>IF($A23="","",SUMIFS(Blog!E:E,Blog!B:B,$A23,Blog!C:C,$B23))</f>
        <v/>
      </c>
      <c r="Q23" s="7" t="str">
        <f>IF($A23="","",COUNTIFS(LinkedIn_Posts!A:A,$A23,LinkedIn_Posts!B:B,$B23))</f>
        <v/>
      </c>
      <c r="R23" s="7" t="str">
        <f>IF($A23="","",SUMIFS(LinkedIn_Posts!F:F,LinkedIn_Posts!A:A,$A23,LinkedIn_Posts!B:B,$B23))</f>
        <v/>
      </c>
      <c r="S23" s="7" t="str">
        <f>IF($A23="","",SUMIFS(LinkedIn_Posts!G:G,LinkedIn_Posts!A:A,$A23,LinkedIn_Posts!B:B,$B23))</f>
        <v/>
      </c>
      <c r="T23" s="7" t="str">
        <f>IF($A23="","",SUMIFS(LinkedIn_Posts!H:H,LinkedIn_Posts!A:A,$A23,LinkedIn_Posts!B:B,$B23))</f>
        <v/>
      </c>
      <c r="U23" s="7" t="str">
        <f>IF($A23="","",SUMIFS(LinkedIn_Posts!I:I,LinkedIn_Posts!A:A,$A23,LinkedIn_Posts!B:B,$B23))</f>
        <v/>
      </c>
    </row>
    <row r="24">
      <c r="A24" s="7" t="s">
        <v>47</v>
      </c>
      <c r="B24" s="7" t="s">
        <v>47</v>
      </c>
      <c r="C24" s="7" t="s">
        <v>47</v>
      </c>
      <c r="D24" s="7" t="str">
        <f>IF($A24="","",SUMIFS(YouTube_Long!G:G,YouTube_Long!A:A,$A24,YouTube_Long!B:B,$B24))</f>
        <v/>
      </c>
      <c r="E24" s="7" t="str">
        <f>IF($A24="","",SUMIFS(YouTube_Long!H:H,YouTube_Long!A:A,$A24,YouTube_Long!B:B,$B24))</f>
        <v/>
      </c>
      <c r="F24" s="7" t="str">
        <f>IF($A24="","",SUMIFS(YouTube_Long!I:I,YouTube_Long!A:A,$A24,YouTube_Long!B:B,$B24))</f>
        <v/>
      </c>
      <c r="G24" s="7" t="str">
        <f>IF($A24="","",COUNTIFS(YouTube_Shorts!A:A,$A24,YouTube_Shorts!B:B,$B24))</f>
        <v/>
      </c>
      <c r="H24" s="7" t="str">
        <f>IF($A24="","",SUMIFS(YouTube_Shorts!F:F,YouTube_Shorts!A:A,$A24,YouTube_Shorts!B:B,$B24))</f>
        <v/>
      </c>
      <c r="I24" s="7" t="str">
        <f>IF($A24="","",SUMIFS(YouTube_Shorts!G:G,YouTube_Shorts!A:A,$A24,YouTube_Shorts!B:B,$B24))</f>
        <v/>
      </c>
      <c r="J24" s="7" t="str">
        <f t="shared" si="1"/>
        <v/>
      </c>
      <c r="K24" s="7" t="str">
        <f>IF($A24="","",SUMIFS(Audio!D:D,Audio!A:A,$A24,Audio!B:B,$B24))</f>
        <v/>
      </c>
      <c r="L24" s="7" t="str">
        <f>IF($A24="","",COUNTIFS(TikTok_Posts!A:A,$A24,TikTok_Posts!B:B,$B24))</f>
        <v/>
      </c>
      <c r="M24" s="7" t="str">
        <f>IF($A24="","",SUMIFS(TikTok_Posts!E:E,TikTok_Posts!A:A,$A24,TikTok_Posts!B:B,$B24))</f>
        <v/>
      </c>
      <c r="N24" s="7" t="str">
        <f>IF($A24="","",COUNTIFS(Instagram_Posts!A:A,$A24,Instagram_Posts!B:B,$B24))</f>
        <v/>
      </c>
      <c r="O24" s="7" t="str">
        <f>IF($A24="","",SUMIFS(Instagram_Posts!E:E,Instagram_Posts!A:A,$A24,Instagram_Posts!B:B,$B24))</f>
        <v/>
      </c>
      <c r="P24" s="7" t="str">
        <f>IF($A24="","",SUMIFS(Blog!E:E,Blog!B:B,$A24,Blog!C:C,$B24))</f>
        <v/>
      </c>
      <c r="Q24" s="7" t="str">
        <f>IF($A24="","",COUNTIFS(LinkedIn_Posts!A:A,$A24,LinkedIn_Posts!B:B,$B24))</f>
        <v/>
      </c>
      <c r="R24" s="7" t="str">
        <f>IF($A24="","",SUMIFS(LinkedIn_Posts!F:F,LinkedIn_Posts!A:A,$A24,LinkedIn_Posts!B:B,$B24))</f>
        <v/>
      </c>
      <c r="S24" s="7" t="str">
        <f>IF($A24="","",SUMIFS(LinkedIn_Posts!G:G,LinkedIn_Posts!A:A,$A24,LinkedIn_Posts!B:B,$B24))</f>
        <v/>
      </c>
      <c r="T24" s="7" t="str">
        <f>IF($A24="","",SUMIFS(LinkedIn_Posts!H:H,LinkedIn_Posts!A:A,$A24,LinkedIn_Posts!B:B,$B24))</f>
        <v/>
      </c>
      <c r="U24" s="7" t="str">
        <f>IF($A24="","",SUMIFS(LinkedIn_Posts!I:I,LinkedIn_Posts!A:A,$A24,LinkedIn_Posts!B:B,$B24))</f>
        <v/>
      </c>
    </row>
    <row r="25">
      <c r="A25" s="7" t="s">
        <v>47</v>
      </c>
      <c r="B25" s="7" t="s">
        <v>47</v>
      </c>
      <c r="C25" s="7" t="s">
        <v>47</v>
      </c>
      <c r="D25" s="7" t="str">
        <f>IF($A25="","",SUMIFS(YouTube_Long!G:G,YouTube_Long!A:A,$A25,YouTube_Long!B:B,$B25))</f>
        <v/>
      </c>
      <c r="E25" s="7" t="str">
        <f>IF($A25="","",SUMIFS(YouTube_Long!H:H,YouTube_Long!A:A,$A25,YouTube_Long!B:B,$B25))</f>
        <v/>
      </c>
      <c r="F25" s="7" t="str">
        <f>IF($A25="","",SUMIFS(YouTube_Long!I:I,YouTube_Long!A:A,$A25,YouTube_Long!B:B,$B25))</f>
        <v/>
      </c>
      <c r="G25" s="7" t="str">
        <f>IF($A25="","",COUNTIFS(YouTube_Shorts!A:A,$A25,YouTube_Shorts!B:B,$B25))</f>
        <v/>
      </c>
      <c r="H25" s="7" t="str">
        <f>IF($A25="","",SUMIFS(YouTube_Shorts!F:F,YouTube_Shorts!A:A,$A25,YouTube_Shorts!B:B,$B25))</f>
        <v/>
      </c>
      <c r="I25" s="7" t="str">
        <f>IF($A25="","",SUMIFS(YouTube_Shorts!G:G,YouTube_Shorts!A:A,$A25,YouTube_Shorts!B:B,$B25))</f>
        <v/>
      </c>
      <c r="J25" s="7" t="str">
        <f t="shared" si="1"/>
        <v/>
      </c>
      <c r="K25" s="7" t="str">
        <f>IF($A25="","",SUMIFS(Audio!D:D,Audio!A:A,$A25,Audio!B:B,$B25))</f>
        <v/>
      </c>
      <c r="L25" s="7" t="str">
        <f>IF($A25="","",COUNTIFS(TikTok_Posts!A:A,$A25,TikTok_Posts!B:B,$B25))</f>
        <v/>
      </c>
      <c r="M25" s="7" t="str">
        <f>IF($A25="","",SUMIFS(TikTok_Posts!E:E,TikTok_Posts!A:A,$A25,TikTok_Posts!B:B,$B25))</f>
        <v/>
      </c>
      <c r="N25" s="7" t="str">
        <f>IF($A25="","",COUNTIFS(Instagram_Posts!A:A,$A25,Instagram_Posts!B:B,$B25))</f>
        <v/>
      </c>
      <c r="O25" s="7" t="str">
        <f>IF($A25="","",SUMIFS(Instagram_Posts!E:E,Instagram_Posts!A:A,$A25,Instagram_Posts!B:B,$B25))</f>
        <v/>
      </c>
      <c r="P25" s="7" t="str">
        <f>IF($A25="","",SUMIFS(Blog!E:E,Blog!B:B,$A25,Blog!C:C,$B25))</f>
        <v/>
      </c>
      <c r="Q25" s="7" t="str">
        <f>IF($A25="","",COUNTIFS(LinkedIn_Posts!A:A,$A25,LinkedIn_Posts!B:B,$B25))</f>
        <v/>
      </c>
      <c r="R25" s="7" t="str">
        <f>IF($A25="","",SUMIFS(LinkedIn_Posts!F:F,LinkedIn_Posts!A:A,$A25,LinkedIn_Posts!B:B,$B25))</f>
        <v/>
      </c>
      <c r="S25" s="7" t="str">
        <f>IF($A25="","",SUMIFS(LinkedIn_Posts!G:G,LinkedIn_Posts!A:A,$A25,LinkedIn_Posts!B:B,$B25))</f>
        <v/>
      </c>
      <c r="T25" s="7" t="str">
        <f>IF($A25="","",SUMIFS(LinkedIn_Posts!H:H,LinkedIn_Posts!A:A,$A25,LinkedIn_Posts!B:B,$B25))</f>
        <v/>
      </c>
      <c r="U25" s="7" t="str">
        <f>IF($A25="","",SUMIFS(LinkedIn_Posts!I:I,LinkedIn_Posts!A:A,$A25,LinkedIn_Posts!B:B,$B25))</f>
        <v/>
      </c>
    </row>
    <row r="26">
      <c r="A26" s="7" t="s">
        <v>47</v>
      </c>
      <c r="B26" s="7" t="s">
        <v>47</v>
      </c>
      <c r="C26" s="7" t="s">
        <v>47</v>
      </c>
      <c r="D26" s="7" t="str">
        <f>IF($A26="","",SUMIFS(YouTube_Long!G:G,YouTube_Long!A:A,$A26,YouTube_Long!B:B,$B26))</f>
        <v/>
      </c>
      <c r="E26" s="7" t="str">
        <f>IF($A26="","",SUMIFS(YouTube_Long!H:H,YouTube_Long!A:A,$A26,YouTube_Long!B:B,$B26))</f>
        <v/>
      </c>
      <c r="F26" s="7" t="str">
        <f>IF($A26="","",SUMIFS(YouTube_Long!I:I,YouTube_Long!A:A,$A26,YouTube_Long!B:B,$B26))</f>
        <v/>
      </c>
      <c r="G26" s="7" t="str">
        <f>IF($A26="","",COUNTIFS(YouTube_Shorts!A:A,$A26,YouTube_Shorts!B:B,$B26))</f>
        <v/>
      </c>
      <c r="H26" s="7" t="str">
        <f>IF($A26="","",SUMIFS(YouTube_Shorts!F:F,YouTube_Shorts!A:A,$A26,YouTube_Shorts!B:B,$B26))</f>
        <v/>
      </c>
      <c r="I26" s="7" t="str">
        <f>IF($A26="","",SUMIFS(YouTube_Shorts!G:G,YouTube_Shorts!A:A,$A26,YouTube_Shorts!B:B,$B26))</f>
        <v/>
      </c>
      <c r="J26" s="7" t="str">
        <f t="shared" si="1"/>
        <v/>
      </c>
      <c r="K26" s="7" t="str">
        <f>IF($A26="","",SUMIFS(Audio!D:D,Audio!A:A,$A26,Audio!B:B,$B26))</f>
        <v/>
      </c>
      <c r="L26" s="7" t="str">
        <f>IF($A26="","",COUNTIFS(TikTok_Posts!A:A,$A26,TikTok_Posts!B:B,$B26))</f>
        <v/>
      </c>
      <c r="M26" s="7" t="str">
        <f>IF($A26="","",SUMIFS(TikTok_Posts!E:E,TikTok_Posts!A:A,$A26,TikTok_Posts!B:B,$B26))</f>
        <v/>
      </c>
      <c r="N26" s="7" t="str">
        <f>IF($A26="","",COUNTIFS(Instagram_Posts!A:A,$A26,Instagram_Posts!B:B,$B26))</f>
        <v/>
      </c>
      <c r="O26" s="7" t="str">
        <f>IF($A26="","",SUMIFS(Instagram_Posts!E:E,Instagram_Posts!A:A,$A26,Instagram_Posts!B:B,$B26))</f>
        <v/>
      </c>
      <c r="P26" s="7" t="str">
        <f>IF($A26="","",SUMIFS(Blog!E:E,Blog!B:B,$A26,Blog!C:C,$B26))</f>
        <v/>
      </c>
      <c r="Q26" s="7" t="str">
        <f>IF($A26="","",COUNTIFS(LinkedIn_Posts!A:A,$A26,LinkedIn_Posts!B:B,$B26))</f>
        <v/>
      </c>
      <c r="R26" s="7" t="str">
        <f>IF($A26="","",SUMIFS(LinkedIn_Posts!F:F,LinkedIn_Posts!A:A,$A26,LinkedIn_Posts!B:B,$B26))</f>
        <v/>
      </c>
      <c r="S26" s="7" t="str">
        <f>IF($A26="","",SUMIFS(LinkedIn_Posts!G:G,LinkedIn_Posts!A:A,$A26,LinkedIn_Posts!B:B,$B26))</f>
        <v/>
      </c>
      <c r="T26" s="7" t="str">
        <f>IF($A26="","",SUMIFS(LinkedIn_Posts!H:H,LinkedIn_Posts!A:A,$A26,LinkedIn_Posts!B:B,$B26))</f>
        <v/>
      </c>
      <c r="U26" s="7" t="str">
        <f>IF($A26="","",SUMIFS(LinkedIn_Posts!I:I,LinkedIn_Posts!A:A,$A26,LinkedIn_Posts!B:B,$B26))</f>
        <v/>
      </c>
    </row>
    <row r="27">
      <c r="A27" s="7" t="s">
        <v>47</v>
      </c>
      <c r="B27" s="7" t="s">
        <v>47</v>
      </c>
      <c r="C27" s="7" t="s">
        <v>47</v>
      </c>
      <c r="D27" s="7" t="str">
        <f>IF($A27="","",SUMIFS(YouTube_Long!G:G,YouTube_Long!A:A,$A27,YouTube_Long!B:B,$B27))</f>
        <v/>
      </c>
      <c r="E27" s="7" t="str">
        <f>IF($A27="","",SUMIFS(YouTube_Long!H:H,YouTube_Long!A:A,$A27,YouTube_Long!B:B,$B27))</f>
        <v/>
      </c>
      <c r="F27" s="7" t="str">
        <f>IF($A27="","",SUMIFS(YouTube_Long!I:I,YouTube_Long!A:A,$A27,YouTube_Long!B:B,$B27))</f>
        <v/>
      </c>
      <c r="G27" s="7" t="str">
        <f>IF($A27="","",COUNTIFS(YouTube_Shorts!A:A,$A27,YouTube_Shorts!B:B,$B27))</f>
        <v/>
      </c>
      <c r="H27" s="7" t="str">
        <f>IF($A27="","",SUMIFS(YouTube_Shorts!F:F,YouTube_Shorts!A:A,$A27,YouTube_Shorts!B:B,$B27))</f>
        <v/>
      </c>
      <c r="I27" s="7" t="str">
        <f>IF($A27="","",SUMIFS(YouTube_Shorts!G:G,YouTube_Shorts!A:A,$A27,YouTube_Shorts!B:B,$B27))</f>
        <v/>
      </c>
      <c r="J27" s="7" t="str">
        <f t="shared" si="1"/>
        <v/>
      </c>
      <c r="K27" s="7" t="str">
        <f>IF($A27="","",SUMIFS(Audio!D:D,Audio!A:A,$A27,Audio!B:B,$B27))</f>
        <v/>
      </c>
      <c r="L27" s="7" t="str">
        <f>IF($A27="","",COUNTIFS(TikTok_Posts!A:A,$A27,TikTok_Posts!B:B,$B27))</f>
        <v/>
      </c>
      <c r="M27" s="7" t="str">
        <f>IF($A27="","",SUMIFS(TikTok_Posts!E:E,TikTok_Posts!A:A,$A27,TikTok_Posts!B:B,$B27))</f>
        <v/>
      </c>
      <c r="N27" s="7" t="str">
        <f>IF($A27="","",COUNTIFS(Instagram_Posts!A:A,$A27,Instagram_Posts!B:B,$B27))</f>
        <v/>
      </c>
      <c r="O27" s="7" t="str">
        <f>IF($A27="","",SUMIFS(Instagram_Posts!E:E,Instagram_Posts!A:A,$A27,Instagram_Posts!B:B,$B27))</f>
        <v/>
      </c>
      <c r="P27" s="7" t="str">
        <f>IF($A27="","",SUMIFS(Blog!E:E,Blog!B:B,$A27,Blog!C:C,$B27))</f>
        <v/>
      </c>
      <c r="Q27" s="7" t="str">
        <f>IF($A27="","",COUNTIFS(LinkedIn_Posts!A:A,$A27,LinkedIn_Posts!B:B,$B27))</f>
        <v/>
      </c>
      <c r="R27" s="7" t="str">
        <f>IF($A27="","",SUMIFS(LinkedIn_Posts!F:F,LinkedIn_Posts!A:A,$A27,LinkedIn_Posts!B:B,$B27))</f>
        <v/>
      </c>
      <c r="S27" s="7" t="str">
        <f>IF($A27="","",SUMIFS(LinkedIn_Posts!G:G,LinkedIn_Posts!A:A,$A27,LinkedIn_Posts!B:B,$B27))</f>
        <v/>
      </c>
      <c r="T27" s="7" t="str">
        <f>IF($A27="","",SUMIFS(LinkedIn_Posts!H:H,LinkedIn_Posts!A:A,$A27,LinkedIn_Posts!B:B,$B27))</f>
        <v/>
      </c>
      <c r="U27" s="7" t="str">
        <f>IF($A27="","",SUMIFS(LinkedIn_Posts!I:I,LinkedIn_Posts!A:A,$A27,LinkedIn_Posts!B:B,$B27))</f>
        <v/>
      </c>
    </row>
    <row r="28">
      <c r="A28" s="7" t="s">
        <v>47</v>
      </c>
      <c r="B28" s="7" t="s">
        <v>47</v>
      </c>
      <c r="C28" s="7" t="s">
        <v>47</v>
      </c>
      <c r="D28" s="7" t="str">
        <f>IF($A28="","",SUMIFS(YouTube_Long!G:G,YouTube_Long!A:A,$A28,YouTube_Long!B:B,$B28))</f>
        <v/>
      </c>
      <c r="E28" s="7" t="str">
        <f>IF($A28="","",SUMIFS(YouTube_Long!H:H,YouTube_Long!A:A,$A28,YouTube_Long!B:B,$B28))</f>
        <v/>
      </c>
      <c r="F28" s="7" t="str">
        <f>IF($A28="","",SUMIFS(YouTube_Long!I:I,YouTube_Long!A:A,$A28,YouTube_Long!B:B,$B28))</f>
        <v/>
      </c>
      <c r="G28" s="7" t="str">
        <f>IF($A28="","",COUNTIFS(YouTube_Shorts!A:A,$A28,YouTube_Shorts!B:B,$B28))</f>
        <v/>
      </c>
      <c r="H28" s="7" t="str">
        <f>IF($A28="","",SUMIFS(YouTube_Shorts!F:F,YouTube_Shorts!A:A,$A28,YouTube_Shorts!B:B,$B28))</f>
        <v/>
      </c>
      <c r="I28" s="7" t="str">
        <f>IF($A28="","",SUMIFS(YouTube_Shorts!G:G,YouTube_Shorts!A:A,$A28,YouTube_Shorts!B:B,$B28))</f>
        <v/>
      </c>
      <c r="J28" s="7" t="str">
        <f t="shared" si="1"/>
        <v/>
      </c>
      <c r="K28" s="7" t="str">
        <f>IF($A28="","",SUMIFS(Audio!D:D,Audio!A:A,$A28,Audio!B:B,$B28))</f>
        <v/>
      </c>
      <c r="L28" s="7" t="str">
        <f>IF($A28="","",COUNTIFS(TikTok_Posts!A:A,$A28,TikTok_Posts!B:B,$B28))</f>
        <v/>
      </c>
      <c r="M28" s="7" t="str">
        <f>IF($A28="","",SUMIFS(TikTok_Posts!E:E,TikTok_Posts!A:A,$A28,TikTok_Posts!B:B,$B28))</f>
        <v/>
      </c>
      <c r="N28" s="7" t="str">
        <f>IF($A28="","",COUNTIFS(Instagram_Posts!A:A,$A28,Instagram_Posts!B:B,$B28))</f>
        <v/>
      </c>
      <c r="O28" s="7" t="str">
        <f>IF($A28="","",SUMIFS(Instagram_Posts!E:E,Instagram_Posts!A:A,$A28,Instagram_Posts!B:B,$B28))</f>
        <v/>
      </c>
      <c r="P28" s="7" t="str">
        <f>IF($A28="","",SUMIFS(Blog!E:E,Blog!B:B,$A28,Blog!C:C,$B28))</f>
        <v/>
      </c>
      <c r="Q28" s="7" t="str">
        <f>IF($A28="","",COUNTIFS(LinkedIn_Posts!A:A,$A28,LinkedIn_Posts!B:B,$B28))</f>
        <v/>
      </c>
      <c r="R28" s="7" t="str">
        <f>IF($A28="","",SUMIFS(LinkedIn_Posts!F:F,LinkedIn_Posts!A:A,$A28,LinkedIn_Posts!B:B,$B28))</f>
        <v/>
      </c>
      <c r="S28" s="7" t="str">
        <f>IF($A28="","",SUMIFS(LinkedIn_Posts!G:G,LinkedIn_Posts!A:A,$A28,LinkedIn_Posts!B:B,$B28))</f>
        <v/>
      </c>
      <c r="T28" s="7" t="str">
        <f>IF($A28="","",SUMIFS(LinkedIn_Posts!H:H,LinkedIn_Posts!A:A,$A28,LinkedIn_Posts!B:B,$B28))</f>
        <v/>
      </c>
      <c r="U28" s="7" t="str">
        <f>IF($A28="","",SUMIFS(LinkedIn_Posts!I:I,LinkedIn_Posts!A:A,$A28,LinkedIn_Posts!B:B,$B28))</f>
        <v/>
      </c>
    </row>
    <row r="29">
      <c r="A29" s="7" t="s">
        <v>47</v>
      </c>
      <c r="B29" s="7" t="s">
        <v>47</v>
      </c>
      <c r="C29" s="7" t="s">
        <v>47</v>
      </c>
      <c r="D29" s="7" t="str">
        <f>IF($A29="","",SUMIFS(YouTube_Long!G:G,YouTube_Long!A:A,$A29,YouTube_Long!B:B,$B29))</f>
        <v/>
      </c>
      <c r="E29" s="7" t="str">
        <f>IF($A29="","",SUMIFS(YouTube_Long!H:H,YouTube_Long!A:A,$A29,YouTube_Long!B:B,$B29))</f>
        <v/>
      </c>
      <c r="F29" s="7" t="str">
        <f>IF($A29="","",SUMIFS(YouTube_Long!I:I,YouTube_Long!A:A,$A29,YouTube_Long!B:B,$B29))</f>
        <v/>
      </c>
      <c r="G29" s="7" t="str">
        <f>IF($A29="","",COUNTIFS(YouTube_Shorts!A:A,$A29,YouTube_Shorts!B:B,$B29))</f>
        <v/>
      </c>
      <c r="H29" s="7" t="str">
        <f>IF($A29="","",SUMIFS(YouTube_Shorts!F:F,YouTube_Shorts!A:A,$A29,YouTube_Shorts!B:B,$B29))</f>
        <v/>
      </c>
      <c r="I29" s="7" t="str">
        <f>IF($A29="","",SUMIFS(YouTube_Shorts!G:G,YouTube_Shorts!A:A,$A29,YouTube_Shorts!B:B,$B29))</f>
        <v/>
      </c>
      <c r="J29" s="7" t="str">
        <f t="shared" si="1"/>
        <v/>
      </c>
      <c r="K29" s="7" t="str">
        <f>IF($A29="","",SUMIFS(Audio!D:D,Audio!A:A,$A29,Audio!B:B,$B29))</f>
        <v/>
      </c>
      <c r="L29" s="7" t="str">
        <f>IF($A29="","",COUNTIFS(TikTok_Posts!A:A,$A29,TikTok_Posts!B:B,$B29))</f>
        <v/>
      </c>
      <c r="M29" s="7" t="str">
        <f>IF($A29="","",SUMIFS(TikTok_Posts!E:E,TikTok_Posts!A:A,$A29,TikTok_Posts!B:B,$B29))</f>
        <v/>
      </c>
      <c r="N29" s="7" t="str">
        <f>IF($A29="","",COUNTIFS(Instagram_Posts!A:A,$A29,Instagram_Posts!B:B,$B29))</f>
        <v/>
      </c>
      <c r="O29" s="7" t="str">
        <f>IF($A29="","",SUMIFS(Instagram_Posts!E:E,Instagram_Posts!A:A,$A29,Instagram_Posts!B:B,$B29))</f>
        <v/>
      </c>
      <c r="P29" s="7" t="str">
        <f>IF($A29="","",SUMIFS(Blog!E:E,Blog!B:B,$A29,Blog!C:C,$B29))</f>
        <v/>
      </c>
      <c r="Q29" s="7" t="str">
        <f>IF($A29="","",COUNTIFS(LinkedIn_Posts!A:A,$A29,LinkedIn_Posts!B:B,$B29))</f>
        <v/>
      </c>
      <c r="R29" s="7" t="str">
        <f>IF($A29="","",SUMIFS(LinkedIn_Posts!F:F,LinkedIn_Posts!A:A,$A29,LinkedIn_Posts!B:B,$B29))</f>
        <v/>
      </c>
      <c r="S29" s="7" t="str">
        <f>IF($A29="","",SUMIFS(LinkedIn_Posts!G:G,LinkedIn_Posts!A:A,$A29,LinkedIn_Posts!B:B,$B29))</f>
        <v/>
      </c>
      <c r="T29" s="7" t="str">
        <f>IF($A29="","",SUMIFS(LinkedIn_Posts!H:H,LinkedIn_Posts!A:A,$A29,LinkedIn_Posts!B:B,$B29))</f>
        <v/>
      </c>
      <c r="U29" s="7" t="str">
        <f>IF($A29="","",SUMIFS(LinkedIn_Posts!I:I,LinkedIn_Posts!A:A,$A29,LinkedIn_Posts!B:B,$B29))</f>
        <v/>
      </c>
    </row>
    <row r="30">
      <c r="A30" s="7" t="s">
        <v>47</v>
      </c>
      <c r="B30" s="7" t="s">
        <v>47</v>
      </c>
      <c r="C30" s="7" t="s">
        <v>47</v>
      </c>
      <c r="D30" s="7" t="str">
        <f>IF($A30="","",SUMIFS(YouTube_Long!G:G,YouTube_Long!A:A,$A30,YouTube_Long!B:B,$B30))</f>
        <v/>
      </c>
      <c r="E30" s="7" t="str">
        <f>IF($A30="","",SUMIFS(YouTube_Long!H:H,YouTube_Long!A:A,$A30,YouTube_Long!B:B,$B30))</f>
        <v/>
      </c>
      <c r="F30" s="7" t="str">
        <f>IF($A30="","",SUMIFS(YouTube_Long!I:I,YouTube_Long!A:A,$A30,YouTube_Long!B:B,$B30))</f>
        <v/>
      </c>
      <c r="G30" s="7" t="str">
        <f>IF($A30="","",COUNTIFS(YouTube_Shorts!A:A,$A30,YouTube_Shorts!B:B,$B30))</f>
        <v/>
      </c>
      <c r="H30" s="7" t="str">
        <f>IF($A30="","",SUMIFS(YouTube_Shorts!F:F,YouTube_Shorts!A:A,$A30,YouTube_Shorts!B:B,$B30))</f>
        <v/>
      </c>
      <c r="I30" s="7" t="str">
        <f>IF($A30="","",SUMIFS(YouTube_Shorts!G:G,YouTube_Shorts!A:A,$A30,YouTube_Shorts!B:B,$B30))</f>
        <v/>
      </c>
      <c r="J30" s="7" t="str">
        <f t="shared" si="1"/>
        <v/>
      </c>
      <c r="K30" s="7" t="str">
        <f>IF($A30="","",SUMIFS(Audio!D:D,Audio!A:A,$A30,Audio!B:B,$B30))</f>
        <v/>
      </c>
      <c r="L30" s="7" t="str">
        <f>IF($A30="","",COUNTIFS(TikTok_Posts!A:A,$A30,TikTok_Posts!B:B,$B30))</f>
        <v/>
      </c>
      <c r="M30" s="7" t="str">
        <f>IF($A30="","",SUMIFS(TikTok_Posts!E:E,TikTok_Posts!A:A,$A30,TikTok_Posts!B:B,$B30))</f>
        <v/>
      </c>
      <c r="N30" s="7" t="str">
        <f>IF($A30="","",COUNTIFS(Instagram_Posts!A:A,$A30,Instagram_Posts!B:B,$B30))</f>
        <v/>
      </c>
      <c r="O30" s="7" t="str">
        <f>IF($A30="","",SUMIFS(Instagram_Posts!E:E,Instagram_Posts!A:A,$A30,Instagram_Posts!B:B,$B30))</f>
        <v/>
      </c>
      <c r="P30" s="7" t="str">
        <f>IF($A30="","",SUMIFS(Blog!E:E,Blog!B:B,$A30,Blog!C:C,$B30))</f>
        <v/>
      </c>
      <c r="Q30" s="7" t="str">
        <f>IF($A30="","",COUNTIFS(LinkedIn_Posts!A:A,$A30,LinkedIn_Posts!B:B,$B30))</f>
        <v/>
      </c>
      <c r="R30" s="7" t="str">
        <f>IF($A30="","",SUMIFS(LinkedIn_Posts!F:F,LinkedIn_Posts!A:A,$A30,LinkedIn_Posts!B:B,$B30))</f>
        <v/>
      </c>
      <c r="S30" s="7" t="str">
        <f>IF($A30="","",SUMIFS(LinkedIn_Posts!G:G,LinkedIn_Posts!A:A,$A30,LinkedIn_Posts!B:B,$B30))</f>
        <v/>
      </c>
      <c r="T30" s="7" t="str">
        <f>IF($A30="","",SUMIFS(LinkedIn_Posts!H:H,LinkedIn_Posts!A:A,$A30,LinkedIn_Posts!B:B,$B30))</f>
        <v/>
      </c>
      <c r="U30" s="7" t="str">
        <f>IF($A30="","",SUMIFS(LinkedIn_Posts!I:I,LinkedIn_Posts!A:A,$A30,LinkedIn_Posts!B:B,$B30))</f>
        <v/>
      </c>
    </row>
    <row r="31">
      <c r="A31" s="7" t="s">
        <v>47</v>
      </c>
      <c r="B31" s="7" t="s">
        <v>47</v>
      </c>
      <c r="C31" s="7" t="s">
        <v>47</v>
      </c>
      <c r="D31" s="7" t="str">
        <f>IF($A31="","",SUMIFS(YouTube_Long!G:G,YouTube_Long!A:A,$A31,YouTube_Long!B:B,$B31))</f>
        <v/>
      </c>
      <c r="E31" s="7" t="str">
        <f>IF($A31="","",SUMIFS(YouTube_Long!H:H,YouTube_Long!A:A,$A31,YouTube_Long!B:B,$B31))</f>
        <v/>
      </c>
      <c r="F31" s="7" t="str">
        <f>IF($A31="","",SUMIFS(YouTube_Long!I:I,YouTube_Long!A:A,$A31,YouTube_Long!B:B,$B31))</f>
        <v/>
      </c>
      <c r="G31" s="7" t="str">
        <f>IF($A31="","",COUNTIFS(YouTube_Shorts!A:A,$A31,YouTube_Shorts!B:B,$B31))</f>
        <v/>
      </c>
      <c r="H31" s="7" t="str">
        <f>IF($A31="","",SUMIFS(YouTube_Shorts!F:F,YouTube_Shorts!A:A,$A31,YouTube_Shorts!B:B,$B31))</f>
        <v/>
      </c>
      <c r="I31" s="7" t="str">
        <f>IF($A31="","",SUMIFS(YouTube_Shorts!G:G,YouTube_Shorts!A:A,$A31,YouTube_Shorts!B:B,$B31))</f>
        <v/>
      </c>
      <c r="J31" s="7" t="str">
        <f t="shared" si="1"/>
        <v/>
      </c>
      <c r="K31" s="7" t="str">
        <f>IF($A31="","",SUMIFS(Audio!D:D,Audio!A:A,$A31,Audio!B:B,$B31))</f>
        <v/>
      </c>
      <c r="L31" s="7" t="str">
        <f>IF($A31="","",COUNTIFS(TikTok_Posts!A:A,$A31,TikTok_Posts!B:B,$B31))</f>
        <v/>
      </c>
      <c r="M31" s="7" t="str">
        <f>IF($A31="","",SUMIFS(TikTok_Posts!E:E,TikTok_Posts!A:A,$A31,TikTok_Posts!B:B,$B31))</f>
        <v/>
      </c>
      <c r="N31" s="7" t="str">
        <f>IF($A31="","",COUNTIFS(Instagram_Posts!A:A,$A31,Instagram_Posts!B:B,$B31))</f>
        <v/>
      </c>
      <c r="O31" s="7" t="str">
        <f>IF($A31="","",SUMIFS(Instagram_Posts!E:E,Instagram_Posts!A:A,$A31,Instagram_Posts!B:B,$B31))</f>
        <v/>
      </c>
      <c r="P31" s="7" t="str">
        <f>IF($A31="","",SUMIFS(Blog!E:E,Blog!B:B,$A31,Blog!C:C,$B31))</f>
        <v/>
      </c>
      <c r="Q31" s="7" t="str">
        <f>IF($A31="","",COUNTIFS(LinkedIn_Posts!A:A,$A31,LinkedIn_Posts!B:B,$B31))</f>
        <v/>
      </c>
      <c r="R31" s="7" t="str">
        <f>IF($A31="","",SUMIFS(LinkedIn_Posts!F:F,LinkedIn_Posts!A:A,$A31,LinkedIn_Posts!B:B,$B31))</f>
        <v/>
      </c>
      <c r="S31" s="7" t="str">
        <f>IF($A31="","",SUMIFS(LinkedIn_Posts!G:G,LinkedIn_Posts!A:A,$A31,LinkedIn_Posts!B:B,$B31))</f>
        <v/>
      </c>
      <c r="T31" s="7" t="str">
        <f>IF($A31="","",SUMIFS(LinkedIn_Posts!H:H,LinkedIn_Posts!A:A,$A31,LinkedIn_Posts!B:B,$B31))</f>
        <v/>
      </c>
      <c r="U31" s="7" t="str">
        <f>IF($A31="","",SUMIFS(LinkedIn_Posts!I:I,LinkedIn_Posts!A:A,$A31,LinkedIn_Posts!B:B,$B31))</f>
        <v/>
      </c>
    </row>
    <row r="32">
      <c r="A32" s="7" t="s">
        <v>47</v>
      </c>
      <c r="B32" s="7" t="s">
        <v>47</v>
      </c>
      <c r="C32" s="7" t="s">
        <v>47</v>
      </c>
      <c r="D32" s="7" t="str">
        <f>IF($A32="","",SUMIFS(YouTube_Long!G:G,YouTube_Long!A:A,$A32,YouTube_Long!B:B,$B32))</f>
        <v/>
      </c>
      <c r="E32" s="7" t="str">
        <f>IF($A32="","",SUMIFS(YouTube_Long!H:H,YouTube_Long!A:A,$A32,YouTube_Long!B:B,$B32))</f>
        <v/>
      </c>
      <c r="F32" s="7" t="str">
        <f>IF($A32="","",SUMIFS(YouTube_Long!I:I,YouTube_Long!A:A,$A32,YouTube_Long!B:B,$B32))</f>
        <v/>
      </c>
      <c r="G32" s="7" t="str">
        <f>IF($A32="","",COUNTIFS(YouTube_Shorts!A:A,$A32,YouTube_Shorts!B:B,$B32))</f>
        <v/>
      </c>
      <c r="H32" s="7" t="str">
        <f>IF($A32="","",SUMIFS(YouTube_Shorts!F:F,YouTube_Shorts!A:A,$A32,YouTube_Shorts!B:B,$B32))</f>
        <v/>
      </c>
      <c r="I32" s="7" t="str">
        <f>IF($A32="","",SUMIFS(YouTube_Shorts!G:G,YouTube_Shorts!A:A,$A32,YouTube_Shorts!B:B,$B32))</f>
        <v/>
      </c>
      <c r="J32" s="7" t="str">
        <f t="shared" si="1"/>
        <v/>
      </c>
      <c r="K32" s="7" t="str">
        <f>IF($A32="","",SUMIFS(Audio!D:D,Audio!A:A,$A32,Audio!B:B,$B32))</f>
        <v/>
      </c>
      <c r="L32" s="7" t="str">
        <f>IF($A32="","",COUNTIFS(TikTok_Posts!A:A,$A32,TikTok_Posts!B:B,$B32))</f>
        <v/>
      </c>
      <c r="M32" s="7" t="str">
        <f>IF($A32="","",SUMIFS(TikTok_Posts!E:E,TikTok_Posts!A:A,$A32,TikTok_Posts!B:B,$B32))</f>
        <v/>
      </c>
      <c r="N32" s="7" t="str">
        <f>IF($A32="","",COUNTIFS(Instagram_Posts!A:A,$A32,Instagram_Posts!B:B,$B32))</f>
        <v/>
      </c>
      <c r="O32" s="7" t="str">
        <f>IF($A32="","",SUMIFS(Instagram_Posts!E:E,Instagram_Posts!A:A,$A32,Instagram_Posts!B:B,$B32))</f>
        <v/>
      </c>
      <c r="P32" s="7" t="str">
        <f>IF($A32="","",SUMIFS(Blog!E:E,Blog!B:B,$A32,Blog!C:C,$B32))</f>
        <v/>
      </c>
      <c r="Q32" s="7" t="str">
        <f>IF($A32="","",COUNTIFS(LinkedIn_Posts!A:A,$A32,LinkedIn_Posts!B:B,$B32))</f>
        <v/>
      </c>
      <c r="R32" s="7" t="str">
        <f>IF($A32="","",SUMIFS(LinkedIn_Posts!F:F,LinkedIn_Posts!A:A,$A32,LinkedIn_Posts!B:B,$B32))</f>
        <v/>
      </c>
      <c r="S32" s="7" t="str">
        <f>IF($A32="","",SUMIFS(LinkedIn_Posts!G:G,LinkedIn_Posts!A:A,$A32,LinkedIn_Posts!B:B,$B32))</f>
        <v/>
      </c>
      <c r="T32" s="7" t="str">
        <f>IF($A32="","",SUMIFS(LinkedIn_Posts!H:H,LinkedIn_Posts!A:A,$A32,LinkedIn_Posts!B:B,$B32))</f>
        <v/>
      </c>
      <c r="U32" s="7" t="str">
        <f>IF($A32="","",SUMIFS(LinkedIn_Posts!I:I,LinkedIn_Posts!A:A,$A32,LinkedIn_Posts!B:B,$B32))</f>
        <v/>
      </c>
    </row>
    <row r="33">
      <c r="A33" s="7" t="s">
        <v>47</v>
      </c>
      <c r="B33" s="7" t="s">
        <v>47</v>
      </c>
      <c r="C33" s="7" t="s">
        <v>47</v>
      </c>
      <c r="D33" s="7" t="str">
        <f>IF($A33="","",SUMIFS(YouTube_Long!G:G,YouTube_Long!A:A,$A33,YouTube_Long!B:B,$B33))</f>
        <v/>
      </c>
      <c r="E33" s="7" t="str">
        <f>IF($A33="","",SUMIFS(YouTube_Long!H:H,YouTube_Long!A:A,$A33,YouTube_Long!B:B,$B33))</f>
        <v/>
      </c>
      <c r="F33" s="7" t="str">
        <f>IF($A33="","",SUMIFS(YouTube_Long!I:I,YouTube_Long!A:A,$A33,YouTube_Long!B:B,$B33))</f>
        <v/>
      </c>
      <c r="G33" s="7" t="str">
        <f>IF($A33="","",COUNTIFS(YouTube_Shorts!A:A,$A33,YouTube_Shorts!B:B,$B33))</f>
        <v/>
      </c>
      <c r="H33" s="7" t="str">
        <f>IF($A33="","",SUMIFS(YouTube_Shorts!F:F,YouTube_Shorts!A:A,$A33,YouTube_Shorts!B:B,$B33))</f>
        <v/>
      </c>
      <c r="I33" s="7" t="str">
        <f>IF($A33="","",SUMIFS(YouTube_Shorts!G:G,YouTube_Shorts!A:A,$A33,YouTube_Shorts!B:B,$B33))</f>
        <v/>
      </c>
      <c r="J33" s="7" t="str">
        <f t="shared" si="1"/>
        <v/>
      </c>
      <c r="K33" s="7" t="str">
        <f>IF($A33="","",SUMIFS(Audio!D:D,Audio!A:A,$A33,Audio!B:B,$B33))</f>
        <v/>
      </c>
      <c r="L33" s="7" t="str">
        <f>IF($A33="","",COUNTIFS(TikTok_Posts!A:A,$A33,TikTok_Posts!B:B,$B33))</f>
        <v/>
      </c>
      <c r="M33" s="7" t="str">
        <f>IF($A33="","",SUMIFS(TikTok_Posts!E:E,TikTok_Posts!A:A,$A33,TikTok_Posts!B:B,$B33))</f>
        <v/>
      </c>
      <c r="N33" s="7" t="str">
        <f>IF($A33="","",COUNTIFS(Instagram_Posts!A:A,$A33,Instagram_Posts!B:B,$B33))</f>
        <v/>
      </c>
      <c r="O33" s="7" t="str">
        <f>IF($A33="","",SUMIFS(Instagram_Posts!E:E,Instagram_Posts!A:A,$A33,Instagram_Posts!B:B,$B33))</f>
        <v/>
      </c>
      <c r="P33" s="7" t="str">
        <f>IF($A33="","",SUMIFS(Blog!E:E,Blog!B:B,$A33,Blog!C:C,$B33))</f>
        <v/>
      </c>
      <c r="Q33" s="7" t="str">
        <f>IF($A33="","",COUNTIFS(LinkedIn_Posts!A:A,$A33,LinkedIn_Posts!B:B,$B33))</f>
        <v/>
      </c>
      <c r="R33" s="7" t="str">
        <f>IF($A33="","",SUMIFS(LinkedIn_Posts!F:F,LinkedIn_Posts!A:A,$A33,LinkedIn_Posts!B:B,$B33))</f>
        <v/>
      </c>
      <c r="S33" s="7" t="str">
        <f>IF($A33="","",SUMIFS(LinkedIn_Posts!G:G,LinkedIn_Posts!A:A,$A33,LinkedIn_Posts!B:B,$B33))</f>
        <v/>
      </c>
      <c r="T33" s="7" t="str">
        <f>IF($A33="","",SUMIFS(LinkedIn_Posts!H:H,LinkedIn_Posts!A:A,$A33,LinkedIn_Posts!B:B,$B33))</f>
        <v/>
      </c>
      <c r="U33" s="7" t="str">
        <f>IF($A33="","",SUMIFS(LinkedIn_Posts!I:I,LinkedIn_Posts!A:A,$A33,LinkedIn_Posts!B:B,$B33))</f>
        <v/>
      </c>
    </row>
    <row r="34">
      <c r="A34" s="7" t="s">
        <v>47</v>
      </c>
      <c r="B34" s="7" t="s">
        <v>47</v>
      </c>
      <c r="C34" s="7" t="s">
        <v>47</v>
      </c>
      <c r="D34" s="7" t="str">
        <f>IF($A34="","",SUMIFS(YouTube_Long!G:G,YouTube_Long!A:A,$A34,YouTube_Long!B:B,$B34))</f>
        <v/>
      </c>
      <c r="E34" s="7" t="str">
        <f>IF($A34="","",SUMIFS(YouTube_Long!H:H,YouTube_Long!A:A,$A34,YouTube_Long!B:B,$B34))</f>
        <v/>
      </c>
      <c r="F34" s="7" t="str">
        <f>IF($A34="","",SUMIFS(YouTube_Long!I:I,YouTube_Long!A:A,$A34,YouTube_Long!B:B,$B34))</f>
        <v/>
      </c>
      <c r="G34" s="7" t="str">
        <f>IF($A34="","",COUNTIFS(YouTube_Shorts!A:A,$A34,YouTube_Shorts!B:B,$B34))</f>
        <v/>
      </c>
      <c r="H34" s="7" t="str">
        <f>IF($A34="","",SUMIFS(YouTube_Shorts!F:F,YouTube_Shorts!A:A,$A34,YouTube_Shorts!B:B,$B34))</f>
        <v/>
      </c>
      <c r="I34" s="7" t="str">
        <f>IF($A34="","",SUMIFS(YouTube_Shorts!G:G,YouTube_Shorts!A:A,$A34,YouTube_Shorts!B:B,$B34))</f>
        <v/>
      </c>
      <c r="J34" s="7" t="str">
        <f t="shared" si="1"/>
        <v/>
      </c>
      <c r="K34" s="7" t="str">
        <f>IF($A34="","",SUMIFS(Audio!D:D,Audio!A:A,$A34,Audio!B:B,$B34))</f>
        <v/>
      </c>
      <c r="L34" s="7" t="str">
        <f>IF($A34="","",COUNTIFS(TikTok_Posts!A:A,$A34,TikTok_Posts!B:B,$B34))</f>
        <v/>
      </c>
      <c r="M34" s="7" t="str">
        <f>IF($A34="","",SUMIFS(TikTok_Posts!E:E,TikTok_Posts!A:A,$A34,TikTok_Posts!B:B,$B34))</f>
        <v/>
      </c>
      <c r="N34" s="7" t="str">
        <f>IF($A34="","",COUNTIFS(Instagram_Posts!A:A,$A34,Instagram_Posts!B:B,$B34))</f>
        <v/>
      </c>
      <c r="O34" s="7" t="str">
        <f>IF($A34="","",SUMIFS(Instagram_Posts!E:E,Instagram_Posts!A:A,$A34,Instagram_Posts!B:B,$B34))</f>
        <v/>
      </c>
      <c r="P34" s="7" t="str">
        <f>IF($A34="","",SUMIFS(Blog!E:E,Blog!B:B,$A34,Blog!C:C,$B34))</f>
        <v/>
      </c>
      <c r="Q34" s="7" t="str">
        <f>IF($A34="","",COUNTIFS(LinkedIn_Posts!A:A,$A34,LinkedIn_Posts!B:B,$B34))</f>
        <v/>
      </c>
      <c r="R34" s="7" t="str">
        <f>IF($A34="","",SUMIFS(LinkedIn_Posts!F:F,LinkedIn_Posts!A:A,$A34,LinkedIn_Posts!B:B,$B34))</f>
        <v/>
      </c>
      <c r="S34" s="7" t="str">
        <f>IF($A34="","",SUMIFS(LinkedIn_Posts!G:G,LinkedIn_Posts!A:A,$A34,LinkedIn_Posts!B:B,$B34))</f>
        <v/>
      </c>
      <c r="T34" s="7" t="str">
        <f>IF($A34="","",SUMIFS(LinkedIn_Posts!H:H,LinkedIn_Posts!A:A,$A34,LinkedIn_Posts!B:B,$B34))</f>
        <v/>
      </c>
      <c r="U34" s="7" t="str">
        <f>IF($A34="","",SUMIFS(LinkedIn_Posts!I:I,LinkedIn_Posts!A:A,$A34,LinkedIn_Posts!B:B,$B34))</f>
        <v/>
      </c>
    </row>
    <row r="35">
      <c r="A35" s="7" t="s">
        <v>47</v>
      </c>
      <c r="B35" s="7" t="s">
        <v>47</v>
      </c>
      <c r="C35" s="7" t="s">
        <v>47</v>
      </c>
      <c r="D35" s="7" t="str">
        <f>IF($A35="","",SUMIFS(YouTube_Long!G:G,YouTube_Long!A:A,$A35,YouTube_Long!B:B,$B35))</f>
        <v/>
      </c>
      <c r="E35" s="7" t="str">
        <f>IF($A35="","",SUMIFS(YouTube_Long!H:H,YouTube_Long!A:A,$A35,YouTube_Long!B:B,$B35))</f>
        <v/>
      </c>
      <c r="F35" s="7" t="str">
        <f>IF($A35="","",SUMIFS(YouTube_Long!I:I,YouTube_Long!A:A,$A35,YouTube_Long!B:B,$B35))</f>
        <v/>
      </c>
      <c r="G35" s="7" t="str">
        <f>IF($A35="","",COUNTIFS(YouTube_Shorts!A:A,$A35,YouTube_Shorts!B:B,$B35))</f>
        <v/>
      </c>
      <c r="H35" s="7" t="str">
        <f>IF($A35="","",SUMIFS(YouTube_Shorts!F:F,YouTube_Shorts!A:A,$A35,YouTube_Shorts!B:B,$B35))</f>
        <v/>
      </c>
      <c r="I35" s="7" t="str">
        <f>IF($A35="","",SUMIFS(YouTube_Shorts!G:G,YouTube_Shorts!A:A,$A35,YouTube_Shorts!B:B,$B35))</f>
        <v/>
      </c>
      <c r="J35" s="7" t="str">
        <f t="shared" si="1"/>
        <v/>
      </c>
      <c r="K35" s="7" t="str">
        <f>IF($A35="","",SUMIFS(Audio!D:D,Audio!A:A,$A35,Audio!B:B,$B35))</f>
        <v/>
      </c>
      <c r="L35" s="7" t="str">
        <f>IF($A35="","",COUNTIFS(TikTok_Posts!A:A,$A35,TikTok_Posts!B:B,$B35))</f>
        <v/>
      </c>
      <c r="M35" s="7" t="str">
        <f>IF($A35="","",SUMIFS(TikTok_Posts!E:E,TikTok_Posts!A:A,$A35,TikTok_Posts!B:B,$B35))</f>
        <v/>
      </c>
      <c r="N35" s="7" t="str">
        <f>IF($A35="","",COUNTIFS(Instagram_Posts!A:A,$A35,Instagram_Posts!B:B,$B35))</f>
        <v/>
      </c>
      <c r="O35" s="7" t="str">
        <f>IF($A35="","",SUMIFS(Instagram_Posts!E:E,Instagram_Posts!A:A,$A35,Instagram_Posts!B:B,$B35))</f>
        <v/>
      </c>
      <c r="P35" s="7" t="str">
        <f>IF($A35="","",SUMIFS(Blog!E:E,Blog!B:B,$A35,Blog!C:C,$B35))</f>
        <v/>
      </c>
      <c r="Q35" s="7" t="str">
        <f>IF($A35="","",COUNTIFS(LinkedIn_Posts!A:A,$A35,LinkedIn_Posts!B:B,$B35))</f>
        <v/>
      </c>
      <c r="R35" s="7" t="str">
        <f>IF($A35="","",SUMIFS(LinkedIn_Posts!F:F,LinkedIn_Posts!A:A,$A35,LinkedIn_Posts!B:B,$B35))</f>
        <v/>
      </c>
      <c r="S35" s="7" t="str">
        <f>IF($A35="","",SUMIFS(LinkedIn_Posts!G:G,LinkedIn_Posts!A:A,$A35,LinkedIn_Posts!B:B,$B35))</f>
        <v/>
      </c>
      <c r="T35" s="7" t="str">
        <f>IF($A35="","",SUMIFS(LinkedIn_Posts!H:H,LinkedIn_Posts!A:A,$A35,LinkedIn_Posts!B:B,$B35))</f>
        <v/>
      </c>
      <c r="U35" s="7" t="str">
        <f>IF($A35="","",SUMIFS(LinkedIn_Posts!I:I,LinkedIn_Posts!A:A,$A35,LinkedIn_Posts!B:B,$B35))</f>
        <v/>
      </c>
    </row>
    <row r="36">
      <c r="A36" s="7" t="s">
        <v>47</v>
      </c>
      <c r="B36" s="7" t="s">
        <v>47</v>
      </c>
      <c r="C36" s="7" t="s">
        <v>47</v>
      </c>
      <c r="D36" s="7" t="str">
        <f>IF($A36="","",SUMIFS(YouTube_Long!G:G,YouTube_Long!A:A,$A36,YouTube_Long!B:B,$B36))</f>
        <v/>
      </c>
      <c r="E36" s="7" t="str">
        <f>IF($A36="","",SUMIFS(YouTube_Long!H:H,YouTube_Long!A:A,$A36,YouTube_Long!B:B,$B36))</f>
        <v/>
      </c>
      <c r="F36" s="7" t="str">
        <f>IF($A36="","",SUMIFS(YouTube_Long!I:I,YouTube_Long!A:A,$A36,YouTube_Long!B:B,$B36))</f>
        <v/>
      </c>
      <c r="G36" s="7" t="str">
        <f>IF($A36="","",COUNTIFS(YouTube_Shorts!A:A,$A36,YouTube_Shorts!B:B,$B36))</f>
        <v/>
      </c>
      <c r="H36" s="7" t="str">
        <f>IF($A36="","",SUMIFS(YouTube_Shorts!F:F,YouTube_Shorts!A:A,$A36,YouTube_Shorts!B:B,$B36))</f>
        <v/>
      </c>
      <c r="I36" s="7" t="str">
        <f>IF($A36="","",SUMIFS(YouTube_Shorts!G:G,YouTube_Shorts!A:A,$A36,YouTube_Shorts!B:B,$B36))</f>
        <v/>
      </c>
      <c r="J36" s="7" t="str">
        <f t="shared" si="1"/>
        <v/>
      </c>
      <c r="K36" s="7" t="str">
        <f>IF($A36="","",SUMIFS(Audio!D:D,Audio!A:A,$A36,Audio!B:B,$B36))</f>
        <v/>
      </c>
      <c r="L36" s="7" t="str">
        <f>IF($A36="","",COUNTIFS(TikTok_Posts!A:A,$A36,TikTok_Posts!B:B,$B36))</f>
        <v/>
      </c>
      <c r="M36" s="7" t="str">
        <f>IF($A36="","",SUMIFS(TikTok_Posts!E:E,TikTok_Posts!A:A,$A36,TikTok_Posts!B:B,$B36))</f>
        <v/>
      </c>
      <c r="N36" s="7" t="str">
        <f>IF($A36="","",COUNTIFS(Instagram_Posts!A:A,$A36,Instagram_Posts!B:B,$B36))</f>
        <v/>
      </c>
      <c r="O36" s="7" t="str">
        <f>IF($A36="","",SUMIFS(Instagram_Posts!E:E,Instagram_Posts!A:A,$A36,Instagram_Posts!B:B,$B36))</f>
        <v/>
      </c>
      <c r="P36" s="7" t="str">
        <f>IF($A36="","",SUMIFS(Blog!E:E,Blog!B:B,$A36,Blog!C:C,$B36))</f>
        <v/>
      </c>
      <c r="Q36" s="7" t="str">
        <f>IF($A36="","",COUNTIFS(LinkedIn_Posts!A:A,$A36,LinkedIn_Posts!B:B,$B36))</f>
        <v/>
      </c>
      <c r="R36" s="7" t="str">
        <f>IF($A36="","",SUMIFS(LinkedIn_Posts!F:F,LinkedIn_Posts!A:A,$A36,LinkedIn_Posts!B:B,$B36))</f>
        <v/>
      </c>
      <c r="S36" s="7" t="str">
        <f>IF($A36="","",SUMIFS(LinkedIn_Posts!G:G,LinkedIn_Posts!A:A,$A36,LinkedIn_Posts!B:B,$B36))</f>
        <v/>
      </c>
      <c r="T36" s="7" t="str">
        <f>IF($A36="","",SUMIFS(LinkedIn_Posts!H:H,LinkedIn_Posts!A:A,$A36,LinkedIn_Posts!B:B,$B36))</f>
        <v/>
      </c>
      <c r="U36" s="7" t="str">
        <f>IF($A36="","",SUMIFS(LinkedIn_Posts!I:I,LinkedIn_Posts!A:A,$A36,LinkedIn_Posts!B:B,$B36))</f>
        <v/>
      </c>
    </row>
    <row r="37">
      <c r="A37" s="7" t="s">
        <v>47</v>
      </c>
      <c r="B37" s="7" t="s">
        <v>47</v>
      </c>
      <c r="C37" s="7" t="s">
        <v>47</v>
      </c>
      <c r="D37" s="7" t="str">
        <f>IF($A37="","",SUMIFS(YouTube_Long!G:G,YouTube_Long!A:A,$A37,YouTube_Long!B:B,$B37))</f>
        <v/>
      </c>
      <c r="E37" s="7" t="str">
        <f>IF($A37="","",SUMIFS(YouTube_Long!H:H,YouTube_Long!A:A,$A37,YouTube_Long!B:B,$B37))</f>
        <v/>
      </c>
      <c r="F37" s="7" t="str">
        <f>IF($A37="","",SUMIFS(YouTube_Long!I:I,YouTube_Long!A:A,$A37,YouTube_Long!B:B,$B37))</f>
        <v/>
      </c>
      <c r="G37" s="7" t="str">
        <f>IF($A37="","",COUNTIFS(YouTube_Shorts!A:A,$A37,YouTube_Shorts!B:B,$B37))</f>
        <v/>
      </c>
      <c r="H37" s="7" t="str">
        <f>IF($A37="","",SUMIFS(YouTube_Shorts!F:F,YouTube_Shorts!A:A,$A37,YouTube_Shorts!B:B,$B37))</f>
        <v/>
      </c>
      <c r="I37" s="7" t="str">
        <f>IF($A37="","",SUMIFS(YouTube_Shorts!G:G,YouTube_Shorts!A:A,$A37,YouTube_Shorts!B:B,$B37))</f>
        <v/>
      </c>
      <c r="J37" s="7" t="str">
        <f t="shared" si="1"/>
        <v/>
      </c>
      <c r="K37" s="7" t="str">
        <f>IF($A37="","",SUMIFS(Audio!D:D,Audio!A:A,$A37,Audio!B:B,$B37))</f>
        <v/>
      </c>
      <c r="L37" s="7" t="str">
        <f>IF($A37="","",COUNTIFS(TikTok_Posts!A:A,$A37,TikTok_Posts!B:B,$B37))</f>
        <v/>
      </c>
      <c r="M37" s="7" t="str">
        <f>IF($A37="","",SUMIFS(TikTok_Posts!E:E,TikTok_Posts!A:A,$A37,TikTok_Posts!B:B,$B37))</f>
        <v/>
      </c>
      <c r="N37" s="7" t="str">
        <f>IF($A37="","",COUNTIFS(Instagram_Posts!A:A,$A37,Instagram_Posts!B:B,$B37))</f>
        <v/>
      </c>
      <c r="O37" s="7" t="str">
        <f>IF($A37="","",SUMIFS(Instagram_Posts!E:E,Instagram_Posts!A:A,$A37,Instagram_Posts!B:B,$B37))</f>
        <v/>
      </c>
      <c r="P37" s="7" t="str">
        <f>IF($A37="","",SUMIFS(Blog!E:E,Blog!B:B,$A37,Blog!C:C,$B37))</f>
        <v/>
      </c>
      <c r="Q37" s="7" t="str">
        <f>IF($A37="","",COUNTIFS(LinkedIn_Posts!A:A,$A37,LinkedIn_Posts!B:B,$B37))</f>
        <v/>
      </c>
      <c r="R37" s="7" t="str">
        <f>IF($A37="","",SUMIFS(LinkedIn_Posts!F:F,LinkedIn_Posts!A:A,$A37,LinkedIn_Posts!B:B,$B37))</f>
        <v/>
      </c>
      <c r="S37" s="7" t="str">
        <f>IF($A37="","",SUMIFS(LinkedIn_Posts!G:G,LinkedIn_Posts!A:A,$A37,LinkedIn_Posts!B:B,$B37))</f>
        <v/>
      </c>
      <c r="T37" s="7" t="str">
        <f>IF($A37="","",SUMIFS(LinkedIn_Posts!H:H,LinkedIn_Posts!A:A,$A37,LinkedIn_Posts!B:B,$B37))</f>
        <v/>
      </c>
      <c r="U37" s="7" t="str">
        <f>IF($A37="","",SUMIFS(LinkedIn_Posts!I:I,LinkedIn_Posts!A:A,$A37,LinkedIn_Posts!B:B,$B37))</f>
        <v/>
      </c>
    </row>
    <row r="38">
      <c r="A38" s="7" t="s">
        <v>47</v>
      </c>
      <c r="B38" s="7" t="s">
        <v>47</v>
      </c>
      <c r="C38" s="7" t="s">
        <v>47</v>
      </c>
      <c r="D38" s="7" t="str">
        <f>IF($A38="","",SUMIFS(YouTube_Long!G:G,YouTube_Long!A:A,$A38,YouTube_Long!B:B,$B38))</f>
        <v/>
      </c>
      <c r="E38" s="7" t="str">
        <f>IF($A38="","",SUMIFS(YouTube_Long!H:H,YouTube_Long!A:A,$A38,YouTube_Long!B:B,$B38))</f>
        <v/>
      </c>
      <c r="F38" s="7" t="str">
        <f>IF($A38="","",SUMIFS(YouTube_Long!I:I,YouTube_Long!A:A,$A38,YouTube_Long!B:B,$B38))</f>
        <v/>
      </c>
      <c r="G38" s="7" t="str">
        <f>IF($A38="","",COUNTIFS(YouTube_Shorts!A:A,$A38,YouTube_Shorts!B:B,$B38))</f>
        <v/>
      </c>
      <c r="H38" s="7" t="str">
        <f>IF($A38="","",SUMIFS(YouTube_Shorts!F:F,YouTube_Shorts!A:A,$A38,YouTube_Shorts!B:B,$B38))</f>
        <v/>
      </c>
      <c r="I38" s="7" t="str">
        <f>IF($A38="","",SUMIFS(YouTube_Shorts!G:G,YouTube_Shorts!A:A,$A38,YouTube_Shorts!B:B,$B38))</f>
        <v/>
      </c>
      <c r="J38" s="7" t="str">
        <f t="shared" si="1"/>
        <v/>
      </c>
      <c r="K38" s="7" t="str">
        <f>IF($A38="","",SUMIFS(Audio!D:D,Audio!A:A,$A38,Audio!B:B,$B38))</f>
        <v/>
      </c>
      <c r="L38" s="7" t="str">
        <f>IF($A38="","",COUNTIFS(TikTok_Posts!A:A,$A38,TikTok_Posts!B:B,$B38))</f>
        <v/>
      </c>
      <c r="M38" s="7" t="str">
        <f>IF($A38="","",SUMIFS(TikTok_Posts!E:E,TikTok_Posts!A:A,$A38,TikTok_Posts!B:B,$B38))</f>
        <v/>
      </c>
      <c r="N38" s="7" t="str">
        <f>IF($A38="","",COUNTIFS(Instagram_Posts!A:A,$A38,Instagram_Posts!B:B,$B38))</f>
        <v/>
      </c>
      <c r="O38" s="7" t="str">
        <f>IF($A38="","",SUMIFS(Instagram_Posts!E:E,Instagram_Posts!A:A,$A38,Instagram_Posts!B:B,$B38))</f>
        <v/>
      </c>
      <c r="P38" s="7" t="str">
        <f>IF($A38="","",SUMIFS(Blog!E:E,Blog!B:B,$A38,Blog!C:C,$B38))</f>
        <v/>
      </c>
      <c r="Q38" s="7" t="str">
        <f>IF($A38="","",COUNTIFS(LinkedIn_Posts!A:A,$A38,LinkedIn_Posts!B:B,$B38))</f>
        <v/>
      </c>
      <c r="R38" s="7" t="str">
        <f>IF($A38="","",SUMIFS(LinkedIn_Posts!F:F,LinkedIn_Posts!A:A,$A38,LinkedIn_Posts!B:B,$B38))</f>
        <v/>
      </c>
      <c r="S38" s="7" t="str">
        <f>IF($A38="","",SUMIFS(LinkedIn_Posts!G:G,LinkedIn_Posts!A:A,$A38,LinkedIn_Posts!B:B,$B38))</f>
        <v/>
      </c>
      <c r="T38" s="7" t="str">
        <f>IF($A38="","",SUMIFS(LinkedIn_Posts!H:H,LinkedIn_Posts!A:A,$A38,LinkedIn_Posts!B:B,$B38))</f>
        <v/>
      </c>
      <c r="U38" s="7" t="str">
        <f>IF($A38="","",SUMIFS(LinkedIn_Posts!I:I,LinkedIn_Posts!A:A,$A38,LinkedIn_Posts!B:B,$B38))</f>
        <v/>
      </c>
    </row>
    <row r="39">
      <c r="A39" s="7" t="s">
        <v>47</v>
      </c>
      <c r="B39" s="7" t="s">
        <v>47</v>
      </c>
      <c r="C39" s="7" t="s">
        <v>47</v>
      </c>
      <c r="D39" s="7" t="str">
        <f>IF($A39="","",SUMIFS(YouTube_Long!G:G,YouTube_Long!A:A,$A39,YouTube_Long!B:B,$B39))</f>
        <v/>
      </c>
      <c r="E39" s="7" t="str">
        <f>IF($A39="","",SUMIFS(YouTube_Long!H:H,YouTube_Long!A:A,$A39,YouTube_Long!B:B,$B39))</f>
        <v/>
      </c>
      <c r="F39" s="7" t="str">
        <f>IF($A39="","",SUMIFS(YouTube_Long!I:I,YouTube_Long!A:A,$A39,YouTube_Long!B:B,$B39))</f>
        <v/>
      </c>
      <c r="G39" s="7" t="str">
        <f>IF($A39="","",COUNTIFS(YouTube_Shorts!A:A,$A39,YouTube_Shorts!B:B,$B39))</f>
        <v/>
      </c>
      <c r="H39" s="7" t="str">
        <f>IF($A39="","",SUMIFS(YouTube_Shorts!F:F,YouTube_Shorts!A:A,$A39,YouTube_Shorts!B:B,$B39))</f>
        <v/>
      </c>
      <c r="I39" s="7" t="str">
        <f>IF($A39="","",SUMIFS(YouTube_Shorts!G:G,YouTube_Shorts!A:A,$A39,YouTube_Shorts!B:B,$B39))</f>
        <v/>
      </c>
      <c r="J39" s="7" t="str">
        <f t="shared" si="1"/>
        <v/>
      </c>
      <c r="K39" s="7" t="str">
        <f>IF($A39="","",SUMIFS(Audio!D:D,Audio!A:A,$A39,Audio!B:B,$B39))</f>
        <v/>
      </c>
      <c r="L39" s="7" t="str">
        <f>IF($A39="","",COUNTIFS(TikTok_Posts!A:A,$A39,TikTok_Posts!B:B,$B39))</f>
        <v/>
      </c>
      <c r="M39" s="7" t="str">
        <f>IF($A39="","",SUMIFS(TikTok_Posts!E:E,TikTok_Posts!A:A,$A39,TikTok_Posts!B:B,$B39))</f>
        <v/>
      </c>
      <c r="N39" s="7" t="str">
        <f>IF($A39="","",COUNTIFS(Instagram_Posts!A:A,$A39,Instagram_Posts!B:B,$B39))</f>
        <v/>
      </c>
      <c r="O39" s="7" t="str">
        <f>IF($A39="","",SUMIFS(Instagram_Posts!E:E,Instagram_Posts!A:A,$A39,Instagram_Posts!B:B,$B39))</f>
        <v/>
      </c>
      <c r="P39" s="7" t="str">
        <f>IF($A39="","",SUMIFS(Blog!E:E,Blog!B:B,$A39,Blog!C:C,$B39))</f>
        <v/>
      </c>
      <c r="Q39" s="7" t="str">
        <f>IF($A39="","",COUNTIFS(LinkedIn_Posts!A:A,$A39,LinkedIn_Posts!B:B,$B39))</f>
        <v/>
      </c>
      <c r="R39" s="7" t="str">
        <f>IF($A39="","",SUMIFS(LinkedIn_Posts!F:F,LinkedIn_Posts!A:A,$A39,LinkedIn_Posts!B:B,$B39))</f>
        <v/>
      </c>
      <c r="S39" s="7" t="str">
        <f>IF($A39="","",SUMIFS(LinkedIn_Posts!G:G,LinkedIn_Posts!A:A,$A39,LinkedIn_Posts!B:B,$B39))</f>
        <v/>
      </c>
      <c r="T39" s="7" t="str">
        <f>IF($A39="","",SUMIFS(LinkedIn_Posts!H:H,LinkedIn_Posts!A:A,$A39,LinkedIn_Posts!B:B,$B39))</f>
        <v/>
      </c>
      <c r="U39" s="7" t="str">
        <f>IF($A39="","",SUMIFS(LinkedIn_Posts!I:I,LinkedIn_Posts!A:A,$A39,LinkedIn_Posts!B:B,$B39))</f>
        <v/>
      </c>
    </row>
    <row r="40">
      <c r="A40" s="7" t="s">
        <v>47</v>
      </c>
      <c r="B40" s="7" t="s">
        <v>47</v>
      </c>
      <c r="C40" s="7" t="s">
        <v>47</v>
      </c>
      <c r="D40" s="7" t="str">
        <f>IF($A40="","",SUMIFS(YouTube_Long!G:G,YouTube_Long!A:A,$A40,YouTube_Long!B:B,$B40))</f>
        <v/>
      </c>
      <c r="E40" s="7" t="str">
        <f>IF($A40="","",SUMIFS(YouTube_Long!H:H,YouTube_Long!A:A,$A40,YouTube_Long!B:B,$B40))</f>
        <v/>
      </c>
      <c r="F40" s="7" t="str">
        <f>IF($A40="","",SUMIFS(YouTube_Long!I:I,YouTube_Long!A:A,$A40,YouTube_Long!B:B,$B40))</f>
        <v/>
      </c>
      <c r="G40" s="7" t="str">
        <f>IF($A40="","",COUNTIFS(YouTube_Shorts!A:A,$A40,YouTube_Shorts!B:B,$B40))</f>
        <v/>
      </c>
      <c r="H40" s="7" t="str">
        <f>IF($A40="","",SUMIFS(YouTube_Shorts!F:F,YouTube_Shorts!A:A,$A40,YouTube_Shorts!B:B,$B40))</f>
        <v/>
      </c>
      <c r="I40" s="7" t="str">
        <f>IF($A40="","",SUMIFS(YouTube_Shorts!G:G,YouTube_Shorts!A:A,$A40,YouTube_Shorts!B:B,$B40))</f>
        <v/>
      </c>
      <c r="J40" s="7" t="str">
        <f t="shared" si="1"/>
        <v/>
      </c>
      <c r="K40" s="7" t="str">
        <f>IF($A40="","",SUMIFS(Audio!D:D,Audio!A:A,$A40,Audio!B:B,$B40))</f>
        <v/>
      </c>
      <c r="L40" s="7" t="str">
        <f>IF($A40="","",COUNTIFS(TikTok_Posts!A:A,$A40,TikTok_Posts!B:B,$B40))</f>
        <v/>
      </c>
      <c r="M40" s="7" t="str">
        <f>IF($A40="","",SUMIFS(TikTok_Posts!E:E,TikTok_Posts!A:A,$A40,TikTok_Posts!B:B,$B40))</f>
        <v/>
      </c>
      <c r="N40" s="7" t="str">
        <f>IF($A40="","",COUNTIFS(Instagram_Posts!A:A,$A40,Instagram_Posts!B:B,$B40))</f>
        <v/>
      </c>
      <c r="O40" s="7" t="str">
        <f>IF($A40="","",SUMIFS(Instagram_Posts!E:E,Instagram_Posts!A:A,$A40,Instagram_Posts!B:B,$B40))</f>
        <v/>
      </c>
      <c r="P40" s="7" t="str">
        <f>IF($A40="","",SUMIFS(Blog!E:E,Blog!B:B,$A40,Blog!C:C,$B40))</f>
        <v/>
      </c>
      <c r="Q40" s="7" t="str">
        <f>IF($A40="","",COUNTIFS(LinkedIn_Posts!A:A,$A40,LinkedIn_Posts!B:B,$B40))</f>
        <v/>
      </c>
      <c r="R40" s="7" t="str">
        <f>IF($A40="","",SUMIFS(LinkedIn_Posts!F:F,LinkedIn_Posts!A:A,$A40,LinkedIn_Posts!B:B,$B40))</f>
        <v/>
      </c>
      <c r="S40" s="7" t="str">
        <f>IF($A40="","",SUMIFS(LinkedIn_Posts!G:G,LinkedIn_Posts!A:A,$A40,LinkedIn_Posts!B:B,$B40))</f>
        <v/>
      </c>
      <c r="T40" s="7" t="str">
        <f>IF($A40="","",SUMIFS(LinkedIn_Posts!H:H,LinkedIn_Posts!A:A,$A40,LinkedIn_Posts!B:B,$B40))</f>
        <v/>
      </c>
      <c r="U40" s="7" t="str">
        <f>IF($A40="","",SUMIFS(LinkedIn_Posts!I:I,LinkedIn_Posts!A:A,$A40,LinkedIn_Posts!B:B,$B40))</f>
        <v/>
      </c>
    </row>
    <row r="41">
      <c r="A41" s="7" t="s">
        <v>47</v>
      </c>
      <c r="B41" s="7" t="s">
        <v>47</v>
      </c>
      <c r="C41" s="7" t="s">
        <v>47</v>
      </c>
      <c r="D41" s="7" t="str">
        <f>IF($A41="","",SUMIFS(YouTube_Long!G:G,YouTube_Long!A:A,$A41,YouTube_Long!B:B,$B41))</f>
        <v/>
      </c>
      <c r="E41" s="7" t="str">
        <f>IF($A41="","",SUMIFS(YouTube_Long!H:H,YouTube_Long!A:A,$A41,YouTube_Long!B:B,$B41))</f>
        <v/>
      </c>
      <c r="F41" s="7" t="str">
        <f>IF($A41="","",SUMIFS(YouTube_Long!I:I,YouTube_Long!A:A,$A41,YouTube_Long!B:B,$B41))</f>
        <v/>
      </c>
      <c r="G41" s="7" t="str">
        <f>IF($A41="","",COUNTIFS(YouTube_Shorts!A:A,$A41,YouTube_Shorts!B:B,$B41))</f>
        <v/>
      </c>
      <c r="H41" s="7" t="str">
        <f>IF($A41="","",SUMIFS(YouTube_Shorts!F:F,YouTube_Shorts!A:A,$A41,YouTube_Shorts!B:B,$B41))</f>
        <v/>
      </c>
      <c r="I41" s="7" t="str">
        <f>IF($A41="","",SUMIFS(YouTube_Shorts!G:G,YouTube_Shorts!A:A,$A41,YouTube_Shorts!B:B,$B41))</f>
        <v/>
      </c>
      <c r="J41" s="7" t="str">
        <f t="shared" si="1"/>
        <v/>
      </c>
      <c r="K41" s="7" t="str">
        <f>IF($A41="","",SUMIFS(Audio!D:D,Audio!A:A,$A41,Audio!B:B,$B41))</f>
        <v/>
      </c>
      <c r="L41" s="7" t="str">
        <f>IF($A41="","",COUNTIFS(TikTok_Posts!A:A,$A41,TikTok_Posts!B:B,$B41))</f>
        <v/>
      </c>
      <c r="M41" s="7" t="str">
        <f>IF($A41="","",SUMIFS(TikTok_Posts!E:E,TikTok_Posts!A:A,$A41,TikTok_Posts!B:B,$B41))</f>
        <v/>
      </c>
      <c r="N41" s="7" t="str">
        <f>IF($A41="","",COUNTIFS(Instagram_Posts!A:A,$A41,Instagram_Posts!B:B,$B41))</f>
        <v/>
      </c>
      <c r="O41" s="7" t="str">
        <f>IF($A41="","",SUMIFS(Instagram_Posts!E:E,Instagram_Posts!A:A,$A41,Instagram_Posts!B:B,$B41))</f>
        <v/>
      </c>
      <c r="P41" s="7" t="str">
        <f>IF($A41="","",SUMIFS(Blog!E:E,Blog!B:B,$A41,Blog!C:C,$B41))</f>
        <v/>
      </c>
      <c r="Q41" s="7" t="str">
        <f>IF($A41="","",COUNTIFS(LinkedIn_Posts!A:A,$A41,LinkedIn_Posts!B:B,$B41))</f>
        <v/>
      </c>
      <c r="R41" s="7" t="str">
        <f>IF($A41="","",SUMIFS(LinkedIn_Posts!F:F,LinkedIn_Posts!A:A,$A41,LinkedIn_Posts!B:B,$B41))</f>
        <v/>
      </c>
      <c r="S41" s="7" t="str">
        <f>IF($A41="","",SUMIFS(LinkedIn_Posts!G:G,LinkedIn_Posts!A:A,$A41,LinkedIn_Posts!B:B,$B41))</f>
        <v/>
      </c>
      <c r="T41" s="7" t="str">
        <f>IF($A41="","",SUMIFS(LinkedIn_Posts!H:H,LinkedIn_Posts!A:A,$A41,LinkedIn_Posts!B:B,$B41))</f>
        <v/>
      </c>
      <c r="U41" s="7" t="str">
        <f>IF($A41="","",SUMIFS(LinkedIn_Posts!I:I,LinkedIn_Posts!A:A,$A41,LinkedIn_Posts!B:B,$B41))</f>
        <v/>
      </c>
    </row>
    <row r="42">
      <c r="A42" s="7" t="s">
        <v>47</v>
      </c>
      <c r="B42" s="7" t="s">
        <v>47</v>
      </c>
      <c r="C42" s="7" t="s">
        <v>47</v>
      </c>
      <c r="D42" s="7" t="str">
        <f>IF($A42="","",SUMIFS(YouTube_Long!G:G,YouTube_Long!A:A,$A42,YouTube_Long!B:B,$B42))</f>
        <v/>
      </c>
      <c r="E42" s="7" t="str">
        <f>IF($A42="","",SUMIFS(YouTube_Long!H:H,YouTube_Long!A:A,$A42,YouTube_Long!B:B,$B42))</f>
        <v/>
      </c>
      <c r="F42" s="7" t="str">
        <f>IF($A42="","",SUMIFS(YouTube_Long!I:I,YouTube_Long!A:A,$A42,YouTube_Long!B:B,$B42))</f>
        <v/>
      </c>
      <c r="G42" s="7" t="str">
        <f>IF($A42="","",COUNTIFS(YouTube_Shorts!A:A,$A42,YouTube_Shorts!B:B,$B42))</f>
        <v/>
      </c>
      <c r="H42" s="7" t="str">
        <f>IF($A42="","",SUMIFS(YouTube_Shorts!F:F,YouTube_Shorts!A:A,$A42,YouTube_Shorts!B:B,$B42))</f>
        <v/>
      </c>
      <c r="I42" s="7" t="str">
        <f>IF($A42="","",SUMIFS(YouTube_Shorts!G:G,YouTube_Shorts!A:A,$A42,YouTube_Shorts!B:B,$B42))</f>
        <v/>
      </c>
      <c r="J42" s="7" t="str">
        <f t="shared" si="1"/>
        <v/>
      </c>
      <c r="K42" s="7" t="str">
        <f>IF($A42="","",SUMIFS(Audio!D:D,Audio!A:A,$A42,Audio!B:B,$B42))</f>
        <v/>
      </c>
      <c r="L42" s="7" t="str">
        <f>IF($A42="","",COUNTIFS(TikTok_Posts!A:A,$A42,TikTok_Posts!B:B,$B42))</f>
        <v/>
      </c>
      <c r="M42" s="7" t="str">
        <f>IF($A42="","",SUMIFS(TikTok_Posts!E:E,TikTok_Posts!A:A,$A42,TikTok_Posts!B:B,$B42))</f>
        <v/>
      </c>
      <c r="N42" s="7" t="str">
        <f>IF($A42="","",COUNTIFS(Instagram_Posts!A:A,$A42,Instagram_Posts!B:B,$B42))</f>
        <v/>
      </c>
      <c r="O42" s="7" t="str">
        <f>IF($A42="","",SUMIFS(Instagram_Posts!E:E,Instagram_Posts!A:A,$A42,Instagram_Posts!B:B,$B42))</f>
        <v/>
      </c>
      <c r="P42" s="7" t="str">
        <f>IF($A42="","",SUMIFS(Blog!E:E,Blog!B:B,$A42,Blog!C:C,$B42))</f>
        <v/>
      </c>
      <c r="Q42" s="7" t="str">
        <f>IF($A42="","",COUNTIFS(LinkedIn_Posts!A:A,$A42,LinkedIn_Posts!B:B,$B42))</f>
        <v/>
      </c>
      <c r="R42" s="7" t="str">
        <f>IF($A42="","",SUMIFS(LinkedIn_Posts!F:F,LinkedIn_Posts!A:A,$A42,LinkedIn_Posts!B:B,$B42))</f>
        <v/>
      </c>
      <c r="S42" s="7" t="str">
        <f>IF($A42="","",SUMIFS(LinkedIn_Posts!G:G,LinkedIn_Posts!A:A,$A42,LinkedIn_Posts!B:B,$B42))</f>
        <v/>
      </c>
      <c r="T42" s="7" t="str">
        <f>IF($A42="","",SUMIFS(LinkedIn_Posts!H:H,LinkedIn_Posts!A:A,$A42,LinkedIn_Posts!B:B,$B42))</f>
        <v/>
      </c>
      <c r="U42" s="7" t="str">
        <f>IF($A42="","",SUMIFS(LinkedIn_Posts!I:I,LinkedIn_Posts!A:A,$A42,LinkedIn_Posts!B:B,$B42))</f>
        <v/>
      </c>
    </row>
    <row r="43">
      <c r="A43" s="7" t="s">
        <v>47</v>
      </c>
      <c r="B43" s="7" t="s">
        <v>47</v>
      </c>
      <c r="C43" s="7" t="s">
        <v>47</v>
      </c>
      <c r="D43" s="7" t="str">
        <f>IF($A43="","",SUMIFS(YouTube_Long!G:G,YouTube_Long!A:A,$A43,YouTube_Long!B:B,$B43))</f>
        <v/>
      </c>
      <c r="E43" s="7" t="str">
        <f>IF($A43="","",SUMIFS(YouTube_Long!H:H,YouTube_Long!A:A,$A43,YouTube_Long!B:B,$B43))</f>
        <v/>
      </c>
      <c r="F43" s="7" t="str">
        <f>IF($A43="","",SUMIFS(YouTube_Long!I:I,YouTube_Long!A:A,$A43,YouTube_Long!B:B,$B43))</f>
        <v/>
      </c>
      <c r="G43" s="7" t="str">
        <f>IF($A43="","",COUNTIFS(YouTube_Shorts!A:A,$A43,YouTube_Shorts!B:B,$B43))</f>
        <v/>
      </c>
      <c r="H43" s="7" t="str">
        <f>IF($A43="","",SUMIFS(YouTube_Shorts!F:F,YouTube_Shorts!A:A,$A43,YouTube_Shorts!B:B,$B43))</f>
        <v/>
      </c>
      <c r="I43" s="7" t="str">
        <f>IF($A43="","",SUMIFS(YouTube_Shorts!G:G,YouTube_Shorts!A:A,$A43,YouTube_Shorts!B:B,$B43))</f>
        <v/>
      </c>
      <c r="J43" s="7" t="str">
        <f t="shared" si="1"/>
        <v/>
      </c>
      <c r="K43" s="7" t="str">
        <f>IF($A43="","",SUMIFS(Audio!D:D,Audio!A:A,$A43,Audio!B:B,$B43))</f>
        <v/>
      </c>
      <c r="L43" s="7" t="str">
        <f>IF($A43="","",COUNTIFS(TikTok_Posts!A:A,$A43,TikTok_Posts!B:B,$B43))</f>
        <v/>
      </c>
      <c r="M43" s="7" t="str">
        <f>IF($A43="","",SUMIFS(TikTok_Posts!E:E,TikTok_Posts!A:A,$A43,TikTok_Posts!B:B,$B43))</f>
        <v/>
      </c>
      <c r="N43" s="7" t="str">
        <f>IF($A43="","",COUNTIFS(Instagram_Posts!A:A,$A43,Instagram_Posts!B:B,$B43))</f>
        <v/>
      </c>
      <c r="O43" s="7" t="str">
        <f>IF($A43="","",SUMIFS(Instagram_Posts!E:E,Instagram_Posts!A:A,$A43,Instagram_Posts!B:B,$B43))</f>
        <v/>
      </c>
      <c r="P43" s="7" t="str">
        <f>IF($A43="","",SUMIFS(Blog!E:E,Blog!B:B,$A43,Blog!C:C,$B43))</f>
        <v/>
      </c>
      <c r="Q43" s="7" t="str">
        <f>IF($A43="","",COUNTIFS(LinkedIn_Posts!A:A,$A43,LinkedIn_Posts!B:B,$B43))</f>
        <v/>
      </c>
      <c r="R43" s="7" t="str">
        <f>IF($A43="","",SUMIFS(LinkedIn_Posts!F:F,LinkedIn_Posts!A:A,$A43,LinkedIn_Posts!B:B,$B43))</f>
        <v/>
      </c>
      <c r="S43" s="7" t="str">
        <f>IF($A43="","",SUMIFS(LinkedIn_Posts!G:G,LinkedIn_Posts!A:A,$A43,LinkedIn_Posts!B:B,$B43))</f>
        <v/>
      </c>
      <c r="T43" s="7" t="str">
        <f>IF($A43="","",SUMIFS(LinkedIn_Posts!H:H,LinkedIn_Posts!A:A,$A43,LinkedIn_Posts!B:B,$B43))</f>
        <v/>
      </c>
      <c r="U43" s="7" t="str">
        <f>IF($A43="","",SUMIFS(LinkedIn_Posts!I:I,LinkedIn_Posts!A:A,$A43,LinkedIn_Posts!B:B,$B43))</f>
        <v/>
      </c>
    </row>
    <row r="44">
      <c r="A44" s="7" t="s">
        <v>47</v>
      </c>
      <c r="B44" s="7" t="s">
        <v>47</v>
      </c>
      <c r="C44" s="7" t="s">
        <v>47</v>
      </c>
      <c r="D44" s="7" t="str">
        <f>IF($A44="","",SUMIFS(YouTube_Long!G:G,YouTube_Long!A:A,$A44,YouTube_Long!B:B,$B44))</f>
        <v/>
      </c>
      <c r="E44" s="7" t="str">
        <f>IF($A44="","",SUMIFS(YouTube_Long!H:H,YouTube_Long!A:A,$A44,YouTube_Long!B:B,$B44))</f>
        <v/>
      </c>
      <c r="F44" s="7" t="str">
        <f>IF($A44="","",SUMIFS(YouTube_Long!I:I,YouTube_Long!A:A,$A44,YouTube_Long!B:B,$B44))</f>
        <v/>
      </c>
      <c r="G44" s="7" t="str">
        <f>IF($A44="","",COUNTIFS(YouTube_Shorts!A:A,$A44,YouTube_Shorts!B:B,$B44))</f>
        <v/>
      </c>
      <c r="H44" s="7" t="str">
        <f>IF($A44="","",SUMIFS(YouTube_Shorts!F:F,YouTube_Shorts!A:A,$A44,YouTube_Shorts!B:B,$B44))</f>
        <v/>
      </c>
      <c r="I44" s="7" t="str">
        <f>IF($A44="","",SUMIFS(YouTube_Shorts!G:G,YouTube_Shorts!A:A,$A44,YouTube_Shorts!B:B,$B44))</f>
        <v/>
      </c>
      <c r="J44" s="7" t="str">
        <f t="shared" si="1"/>
        <v/>
      </c>
      <c r="K44" s="7" t="str">
        <f>IF($A44="","",SUMIFS(Audio!D:D,Audio!A:A,$A44,Audio!B:B,$B44))</f>
        <v/>
      </c>
      <c r="L44" s="7" t="str">
        <f>IF($A44="","",COUNTIFS(TikTok_Posts!A:A,$A44,TikTok_Posts!B:B,$B44))</f>
        <v/>
      </c>
      <c r="M44" s="7" t="str">
        <f>IF($A44="","",SUMIFS(TikTok_Posts!E:E,TikTok_Posts!A:A,$A44,TikTok_Posts!B:B,$B44))</f>
        <v/>
      </c>
      <c r="N44" s="7" t="str">
        <f>IF($A44="","",COUNTIFS(Instagram_Posts!A:A,$A44,Instagram_Posts!B:B,$B44))</f>
        <v/>
      </c>
      <c r="O44" s="7" t="str">
        <f>IF($A44="","",SUMIFS(Instagram_Posts!E:E,Instagram_Posts!A:A,$A44,Instagram_Posts!B:B,$B44))</f>
        <v/>
      </c>
      <c r="P44" s="7" t="str">
        <f>IF($A44="","",SUMIFS(Blog!E:E,Blog!B:B,$A44,Blog!C:C,$B44))</f>
        <v/>
      </c>
      <c r="Q44" s="7" t="str">
        <f>IF($A44="","",COUNTIFS(LinkedIn_Posts!A:A,$A44,LinkedIn_Posts!B:B,$B44))</f>
        <v/>
      </c>
      <c r="R44" s="7" t="str">
        <f>IF($A44="","",SUMIFS(LinkedIn_Posts!F:F,LinkedIn_Posts!A:A,$A44,LinkedIn_Posts!B:B,$B44))</f>
        <v/>
      </c>
      <c r="S44" s="7" t="str">
        <f>IF($A44="","",SUMIFS(LinkedIn_Posts!G:G,LinkedIn_Posts!A:A,$A44,LinkedIn_Posts!B:B,$B44))</f>
        <v/>
      </c>
      <c r="T44" s="7" t="str">
        <f>IF($A44="","",SUMIFS(LinkedIn_Posts!H:H,LinkedIn_Posts!A:A,$A44,LinkedIn_Posts!B:B,$B44))</f>
        <v/>
      </c>
      <c r="U44" s="7" t="str">
        <f>IF($A44="","",SUMIFS(LinkedIn_Posts!I:I,LinkedIn_Posts!A:A,$A44,LinkedIn_Posts!B:B,$B44))</f>
        <v/>
      </c>
    </row>
    <row r="45">
      <c r="A45" s="7" t="s">
        <v>47</v>
      </c>
      <c r="B45" s="7" t="s">
        <v>47</v>
      </c>
      <c r="C45" s="7" t="s">
        <v>47</v>
      </c>
      <c r="D45" s="7" t="str">
        <f>IF($A45="","",SUMIFS(YouTube_Long!G:G,YouTube_Long!A:A,$A45,YouTube_Long!B:B,$B45))</f>
        <v/>
      </c>
      <c r="E45" s="7" t="str">
        <f>IF($A45="","",SUMIFS(YouTube_Long!H:H,YouTube_Long!A:A,$A45,YouTube_Long!B:B,$B45))</f>
        <v/>
      </c>
      <c r="F45" s="7" t="str">
        <f>IF($A45="","",SUMIFS(YouTube_Long!I:I,YouTube_Long!A:A,$A45,YouTube_Long!B:B,$B45))</f>
        <v/>
      </c>
      <c r="G45" s="7" t="str">
        <f>IF($A45="","",COUNTIFS(YouTube_Shorts!A:A,$A45,YouTube_Shorts!B:B,$B45))</f>
        <v/>
      </c>
      <c r="H45" s="7" t="str">
        <f>IF($A45="","",SUMIFS(YouTube_Shorts!F:F,YouTube_Shorts!A:A,$A45,YouTube_Shorts!B:B,$B45))</f>
        <v/>
      </c>
      <c r="I45" s="7" t="str">
        <f>IF($A45="","",SUMIFS(YouTube_Shorts!G:G,YouTube_Shorts!A:A,$A45,YouTube_Shorts!B:B,$B45))</f>
        <v/>
      </c>
      <c r="J45" s="7" t="str">
        <f t="shared" si="1"/>
        <v/>
      </c>
      <c r="K45" s="7" t="str">
        <f>IF($A45="","",SUMIFS(Audio!D:D,Audio!A:A,$A45,Audio!B:B,$B45))</f>
        <v/>
      </c>
      <c r="L45" s="7" t="str">
        <f>IF($A45="","",COUNTIFS(TikTok_Posts!A:A,$A45,TikTok_Posts!B:B,$B45))</f>
        <v/>
      </c>
      <c r="M45" s="7" t="str">
        <f>IF($A45="","",SUMIFS(TikTok_Posts!E:E,TikTok_Posts!A:A,$A45,TikTok_Posts!B:B,$B45))</f>
        <v/>
      </c>
      <c r="N45" s="7" t="str">
        <f>IF($A45="","",COUNTIFS(Instagram_Posts!A:A,$A45,Instagram_Posts!B:B,$B45))</f>
        <v/>
      </c>
      <c r="O45" s="7" t="str">
        <f>IF($A45="","",SUMIFS(Instagram_Posts!E:E,Instagram_Posts!A:A,$A45,Instagram_Posts!B:B,$B45))</f>
        <v/>
      </c>
      <c r="P45" s="7" t="str">
        <f>IF($A45="","",SUMIFS(Blog!E:E,Blog!B:B,$A45,Blog!C:C,$B45))</f>
        <v/>
      </c>
      <c r="Q45" s="7" t="str">
        <f>IF($A45="","",COUNTIFS(LinkedIn_Posts!A:A,$A45,LinkedIn_Posts!B:B,$B45))</f>
        <v/>
      </c>
      <c r="R45" s="7" t="str">
        <f>IF($A45="","",SUMIFS(LinkedIn_Posts!F:F,LinkedIn_Posts!A:A,$A45,LinkedIn_Posts!B:B,$B45))</f>
        <v/>
      </c>
      <c r="S45" s="7" t="str">
        <f>IF($A45="","",SUMIFS(LinkedIn_Posts!G:G,LinkedIn_Posts!A:A,$A45,LinkedIn_Posts!B:B,$B45))</f>
        <v/>
      </c>
      <c r="T45" s="7" t="str">
        <f>IF($A45="","",SUMIFS(LinkedIn_Posts!H:H,LinkedIn_Posts!A:A,$A45,LinkedIn_Posts!B:B,$B45))</f>
        <v/>
      </c>
      <c r="U45" s="7" t="str">
        <f>IF($A45="","",SUMIFS(LinkedIn_Posts!I:I,LinkedIn_Posts!A:A,$A45,LinkedIn_Posts!B:B,$B45))</f>
        <v/>
      </c>
    </row>
    <row r="46">
      <c r="A46" s="7" t="s">
        <v>47</v>
      </c>
      <c r="B46" s="7" t="s">
        <v>47</v>
      </c>
      <c r="C46" s="7" t="s">
        <v>47</v>
      </c>
      <c r="D46" s="7" t="str">
        <f>IF($A46="","",SUMIFS(YouTube_Long!G:G,YouTube_Long!A:A,$A46,YouTube_Long!B:B,$B46))</f>
        <v/>
      </c>
      <c r="E46" s="7" t="str">
        <f>IF($A46="","",SUMIFS(YouTube_Long!H:H,YouTube_Long!A:A,$A46,YouTube_Long!B:B,$B46))</f>
        <v/>
      </c>
      <c r="F46" s="7" t="str">
        <f>IF($A46="","",SUMIFS(YouTube_Long!I:I,YouTube_Long!A:A,$A46,YouTube_Long!B:B,$B46))</f>
        <v/>
      </c>
      <c r="G46" s="7" t="str">
        <f>IF($A46="","",COUNTIFS(YouTube_Shorts!A:A,$A46,YouTube_Shorts!B:B,$B46))</f>
        <v/>
      </c>
      <c r="H46" s="7" t="str">
        <f>IF($A46="","",SUMIFS(YouTube_Shorts!F:F,YouTube_Shorts!A:A,$A46,YouTube_Shorts!B:B,$B46))</f>
        <v/>
      </c>
      <c r="I46" s="7" t="str">
        <f>IF($A46="","",SUMIFS(YouTube_Shorts!G:G,YouTube_Shorts!A:A,$A46,YouTube_Shorts!B:B,$B46))</f>
        <v/>
      </c>
      <c r="J46" s="7" t="str">
        <f t="shared" si="1"/>
        <v/>
      </c>
      <c r="K46" s="7" t="str">
        <f>IF($A46="","",SUMIFS(Audio!D:D,Audio!A:A,$A46,Audio!B:B,$B46))</f>
        <v/>
      </c>
      <c r="L46" s="7" t="str">
        <f>IF($A46="","",COUNTIFS(TikTok_Posts!A:A,$A46,TikTok_Posts!B:B,$B46))</f>
        <v/>
      </c>
      <c r="M46" s="7" t="str">
        <f>IF($A46="","",SUMIFS(TikTok_Posts!E:E,TikTok_Posts!A:A,$A46,TikTok_Posts!B:B,$B46))</f>
        <v/>
      </c>
      <c r="N46" s="7" t="str">
        <f>IF($A46="","",COUNTIFS(Instagram_Posts!A:A,$A46,Instagram_Posts!B:B,$B46))</f>
        <v/>
      </c>
      <c r="O46" s="7" t="str">
        <f>IF($A46="","",SUMIFS(Instagram_Posts!E:E,Instagram_Posts!A:A,$A46,Instagram_Posts!B:B,$B46))</f>
        <v/>
      </c>
      <c r="P46" s="7" t="str">
        <f>IF($A46="","",SUMIFS(Blog!E:E,Blog!B:B,$A46,Blog!C:C,$B46))</f>
        <v/>
      </c>
      <c r="Q46" s="7" t="str">
        <f>IF($A46="","",COUNTIFS(LinkedIn_Posts!A:A,$A46,LinkedIn_Posts!B:B,$B46))</f>
        <v/>
      </c>
      <c r="R46" s="7" t="str">
        <f>IF($A46="","",SUMIFS(LinkedIn_Posts!F:F,LinkedIn_Posts!A:A,$A46,LinkedIn_Posts!B:B,$B46))</f>
        <v/>
      </c>
      <c r="S46" s="7" t="str">
        <f>IF($A46="","",SUMIFS(LinkedIn_Posts!G:G,LinkedIn_Posts!A:A,$A46,LinkedIn_Posts!B:B,$B46))</f>
        <v/>
      </c>
      <c r="T46" s="7" t="str">
        <f>IF($A46="","",SUMIFS(LinkedIn_Posts!H:H,LinkedIn_Posts!A:A,$A46,LinkedIn_Posts!B:B,$B46))</f>
        <v/>
      </c>
      <c r="U46" s="7" t="str">
        <f>IF($A46="","",SUMIFS(LinkedIn_Posts!I:I,LinkedIn_Posts!A:A,$A46,LinkedIn_Posts!B:B,$B46))</f>
        <v/>
      </c>
    </row>
    <row r="47">
      <c r="A47" s="7" t="s">
        <v>47</v>
      </c>
      <c r="B47" s="7" t="s">
        <v>47</v>
      </c>
      <c r="C47" s="7" t="s">
        <v>47</v>
      </c>
      <c r="D47" s="7" t="str">
        <f>IF($A47="","",SUMIFS(YouTube_Long!G:G,YouTube_Long!A:A,$A47,YouTube_Long!B:B,$B47))</f>
        <v/>
      </c>
      <c r="E47" s="7" t="str">
        <f>IF($A47="","",SUMIFS(YouTube_Long!H:H,YouTube_Long!A:A,$A47,YouTube_Long!B:B,$B47))</f>
        <v/>
      </c>
      <c r="F47" s="7" t="str">
        <f>IF($A47="","",SUMIFS(YouTube_Long!I:I,YouTube_Long!A:A,$A47,YouTube_Long!B:B,$B47))</f>
        <v/>
      </c>
      <c r="G47" s="7" t="str">
        <f>IF($A47="","",COUNTIFS(YouTube_Shorts!A:A,$A47,YouTube_Shorts!B:B,$B47))</f>
        <v/>
      </c>
      <c r="H47" s="7" t="str">
        <f>IF($A47="","",SUMIFS(YouTube_Shorts!F:F,YouTube_Shorts!A:A,$A47,YouTube_Shorts!B:B,$B47))</f>
        <v/>
      </c>
      <c r="I47" s="7" t="str">
        <f>IF($A47="","",SUMIFS(YouTube_Shorts!G:G,YouTube_Shorts!A:A,$A47,YouTube_Shorts!B:B,$B47))</f>
        <v/>
      </c>
      <c r="J47" s="7" t="str">
        <f t="shared" si="1"/>
        <v/>
      </c>
      <c r="K47" s="7" t="str">
        <f>IF($A47="","",SUMIFS(Audio!D:D,Audio!A:A,$A47,Audio!B:B,$B47))</f>
        <v/>
      </c>
      <c r="L47" s="7" t="str">
        <f>IF($A47="","",COUNTIFS(TikTok_Posts!A:A,$A47,TikTok_Posts!B:B,$B47))</f>
        <v/>
      </c>
      <c r="M47" s="7" t="str">
        <f>IF($A47="","",SUMIFS(TikTok_Posts!E:E,TikTok_Posts!A:A,$A47,TikTok_Posts!B:B,$B47))</f>
        <v/>
      </c>
      <c r="N47" s="7" t="str">
        <f>IF($A47="","",COUNTIFS(Instagram_Posts!A:A,$A47,Instagram_Posts!B:B,$B47))</f>
        <v/>
      </c>
      <c r="O47" s="7" t="str">
        <f>IF($A47="","",SUMIFS(Instagram_Posts!E:E,Instagram_Posts!A:A,$A47,Instagram_Posts!B:B,$B47))</f>
        <v/>
      </c>
      <c r="P47" s="7" t="str">
        <f>IF($A47="","",SUMIFS(Blog!E:E,Blog!B:B,$A47,Blog!C:C,$B47))</f>
        <v/>
      </c>
      <c r="Q47" s="7" t="str">
        <f>IF($A47="","",COUNTIFS(LinkedIn_Posts!A:A,$A47,LinkedIn_Posts!B:B,$B47))</f>
        <v/>
      </c>
      <c r="R47" s="7" t="str">
        <f>IF($A47="","",SUMIFS(LinkedIn_Posts!F:F,LinkedIn_Posts!A:A,$A47,LinkedIn_Posts!B:B,$B47))</f>
        <v/>
      </c>
      <c r="S47" s="7" t="str">
        <f>IF($A47="","",SUMIFS(LinkedIn_Posts!G:G,LinkedIn_Posts!A:A,$A47,LinkedIn_Posts!B:B,$B47))</f>
        <v/>
      </c>
      <c r="T47" s="7" t="str">
        <f>IF($A47="","",SUMIFS(LinkedIn_Posts!H:H,LinkedIn_Posts!A:A,$A47,LinkedIn_Posts!B:B,$B47))</f>
        <v/>
      </c>
      <c r="U47" s="7" t="str">
        <f>IF($A47="","",SUMIFS(LinkedIn_Posts!I:I,LinkedIn_Posts!A:A,$A47,LinkedIn_Posts!B:B,$B47))</f>
        <v/>
      </c>
    </row>
    <row r="48">
      <c r="A48" s="7" t="s">
        <v>47</v>
      </c>
      <c r="B48" s="7" t="s">
        <v>47</v>
      </c>
      <c r="C48" s="7" t="s">
        <v>47</v>
      </c>
      <c r="D48" s="7" t="str">
        <f>IF($A48="","",SUMIFS(YouTube_Long!G:G,YouTube_Long!A:A,$A48,YouTube_Long!B:B,$B48))</f>
        <v/>
      </c>
      <c r="E48" s="7" t="str">
        <f>IF($A48="","",SUMIFS(YouTube_Long!H:H,YouTube_Long!A:A,$A48,YouTube_Long!B:B,$B48))</f>
        <v/>
      </c>
      <c r="F48" s="7" t="str">
        <f>IF($A48="","",SUMIFS(YouTube_Long!I:I,YouTube_Long!A:A,$A48,YouTube_Long!B:B,$B48))</f>
        <v/>
      </c>
      <c r="G48" s="7" t="str">
        <f>IF($A48="","",COUNTIFS(YouTube_Shorts!A:A,$A48,YouTube_Shorts!B:B,$B48))</f>
        <v/>
      </c>
      <c r="H48" s="7" t="str">
        <f>IF($A48="","",SUMIFS(YouTube_Shorts!F:F,YouTube_Shorts!A:A,$A48,YouTube_Shorts!B:B,$B48))</f>
        <v/>
      </c>
      <c r="I48" s="7" t="str">
        <f>IF($A48="","",SUMIFS(YouTube_Shorts!G:G,YouTube_Shorts!A:A,$A48,YouTube_Shorts!B:B,$B48))</f>
        <v/>
      </c>
      <c r="J48" s="7" t="str">
        <f t="shared" si="1"/>
        <v/>
      </c>
      <c r="K48" s="7" t="str">
        <f>IF($A48="","",SUMIFS(Audio!D:D,Audio!A:A,$A48,Audio!B:B,$B48))</f>
        <v/>
      </c>
      <c r="L48" s="7" t="str">
        <f>IF($A48="","",COUNTIFS(TikTok_Posts!A:A,$A48,TikTok_Posts!B:B,$B48))</f>
        <v/>
      </c>
      <c r="M48" s="7" t="str">
        <f>IF($A48="","",SUMIFS(TikTok_Posts!E:E,TikTok_Posts!A:A,$A48,TikTok_Posts!B:B,$B48))</f>
        <v/>
      </c>
      <c r="N48" s="7" t="str">
        <f>IF($A48="","",COUNTIFS(Instagram_Posts!A:A,$A48,Instagram_Posts!B:B,$B48))</f>
        <v/>
      </c>
      <c r="O48" s="7" t="str">
        <f>IF($A48="","",SUMIFS(Instagram_Posts!E:E,Instagram_Posts!A:A,$A48,Instagram_Posts!B:B,$B48))</f>
        <v/>
      </c>
      <c r="P48" s="7" t="str">
        <f>IF($A48="","",SUMIFS(Blog!E:E,Blog!B:B,$A48,Blog!C:C,$B48))</f>
        <v/>
      </c>
      <c r="Q48" s="7" t="str">
        <f>IF($A48="","",COUNTIFS(LinkedIn_Posts!A:A,$A48,LinkedIn_Posts!B:B,$B48))</f>
        <v/>
      </c>
      <c r="R48" s="7" t="str">
        <f>IF($A48="","",SUMIFS(LinkedIn_Posts!F:F,LinkedIn_Posts!A:A,$A48,LinkedIn_Posts!B:B,$B48))</f>
        <v/>
      </c>
      <c r="S48" s="7" t="str">
        <f>IF($A48="","",SUMIFS(LinkedIn_Posts!G:G,LinkedIn_Posts!A:A,$A48,LinkedIn_Posts!B:B,$B48))</f>
        <v/>
      </c>
      <c r="T48" s="7" t="str">
        <f>IF($A48="","",SUMIFS(LinkedIn_Posts!H:H,LinkedIn_Posts!A:A,$A48,LinkedIn_Posts!B:B,$B48))</f>
        <v/>
      </c>
      <c r="U48" s="7" t="str">
        <f>IF($A48="","",SUMIFS(LinkedIn_Posts!I:I,LinkedIn_Posts!A:A,$A48,LinkedIn_Posts!B:B,$B48))</f>
        <v/>
      </c>
    </row>
    <row r="49">
      <c r="A49" s="7" t="s">
        <v>47</v>
      </c>
      <c r="B49" s="7" t="s">
        <v>47</v>
      </c>
      <c r="C49" s="7" t="s">
        <v>47</v>
      </c>
      <c r="D49" s="7" t="str">
        <f>IF($A49="","",SUMIFS(YouTube_Long!G:G,YouTube_Long!A:A,$A49,YouTube_Long!B:B,$B49))</f>
        <v/>
      </c>
      <c r="E49" s="7" t="str">
        <f>IF($A49="","",SUMIFS(YouTube_Long!H:H,YouTube_Long!A:A,$A49,YouTube_Long!B:B,$B49))</f>
        <v/>
      </c>
      <c r="F49" s="7" t="str">
        <f>IF($A49="","",SUMIFS(YouTube_Long!I:I,YouTube_Long!A:A,$A49,YouTube_Long!B:B,$B49))</f>
        <v/>
      </c>
      <c r="G49" s="7" t="str">
        <f>IF($A49="","",COUNTIFS(YouTube_Shorts!A:A,$A49,YouTube_Shorts!B:B,$B49))</f>
        <v/>
      </c>
      <c r="H49" s="7" t="str">
        <f>IF($A49="","",SUMIFS(YouTube_Shorts!F:F,YouTube_Shorts!A:A,$A49,YouTube_Shorts!B:B,$B49))</f>
        <v/>
      </c>
      <c r="I49" s="7" t="str">
        <f>IF($A49="","",SUMIFS(YouTube_Shorts!G:G,YouTube_Shorts!A:A,$A49,YouTube_Shorts!B:B,$B49))</f>
        <v/>
      </c>
      <c r="J49" s="7" t="str">
        <f t="shared" si="1"/>
        <v/>
      </c>
      <c r="K49" s="7" t="str">
        <f>IF($A49="","",SUMIFS(Audio!D:D,Audio!A:A,$A49,Audio!B:B,$B49))</f>
        <v/>
      </c>
      <c r="L49" s="7" t="str">
        <f>IF($A49="","",COUNTIFS(TikTok_Posts!A:A,$A49,TikTok_Posts!B:B,$B49))</f>
        <v/>
      </c>
      <c r="M49" s="7" t="str">
        <f>IF($A49="","",SUMIFS(TikTok_Posts!E:E,TikTok_Posts!A:A,$A49,TikTok_Posts!B:B,$B49))</f>
        <v/>
      </c>
      <c r="N49" s="7" t="str">
        <f>IF($A49="","",COUNTIFS(Instagram_Posts!A:A,$A49,Instagram_Posts!B:B,$B49))</f>
        <v/>
      </c>
      <c r="O49" s="7" t="str">
        <f>IF($A49="","",SUMIFS(Instagram_Posts!E:E,Instagram_Posts!A:A,$A49,Instagram_Posts!B:B,$B49))</f>
        <v/>
      </c>
      <c r="P49" s="7" t="str">
        <f>IF($A49="","",SUMIFS(Blog!E:E,Blog!B:B,$A49,Blog!C:C,$B49))</f>
        <v/>
      </c>
      <c r="Q49" s="7" t="str">
        <f>IF($A49="","",COUNTIFS(LinkedIn_Posts!A:A,$A49,LinkedIn_Posts!B:B,$B49))</f>
        <v/>
      </c>
      <c r="R49" s="7" t="str">
        <f>IF($A49="","",SUMIFS(LinkedIn_Posts!F:F,LinkedIn_Posts!A:A,$A49,LinkedIn_Posts!B:B,$B49))</f>
        <v/>
      </c>
      <c r="S49" s="7" t="str">
        <f>IF($A49="","",SUMIFS(LinkedIn_Posts!G:G,LinkedIn_Posts!A:A,$A49,LinkedIn_Posts!B:B,$B49))</f>
        <v/>
      </c>
      <c r="T49" s="7" t="str">
        <f>IF($A49="","",SUMIFS(LinkedIn_Posts!H:H,LinkedIn_Posts!A:A,$A49,LinkedIn_Posts!B:B,$B49))</f>
        <v/>
      </c>
      <c r="U49" s="7" t="str">
        <f>IF($A49="","",SUMIFS(LinkedIn_Posts!I:I,LinkedIn_Posts!A:A,$A49,LinkedIn_Posts!B:B,$B49))</f>
        <v/>
      </c>
    </row>
    <row r="50">
      <c r="A50" s="7" t="s">
        <v>47</v>
      </c>
      <c r="B50" s="7" t="s">
        <v>47</v>
      </c>
      <c r="C50" s="7" t="s">
        <v>47</v>
      </c>
      <c r="D50" s="7" t="str">
        <f>IF($A50="","",SUMIFS(YouTube_Long!G:G,YouTube_Long!A:A,$A50,YouTube_Long!B:B,$B50))</f>
        <v/>
      </c>
      <c r="E50" s="7" t="str">
        <f>IF($A50="","",SUMIFS(YouTube_Long!H:H,YouTube_Long!A:A,$A50,YouTube_Long!B:B,$B50))</f>
        <v/>
      </c>
      <c r="F50" s="7" t="str">
        <f>IF($A50="","",SUMIFS(YouTube_Long!I:I,YouTube_Long!A:A,$A50,YouTube_Long!B:B,$B50))</f>
        <v/>
      </c>
      <c r="G50" s="7" t="str">
        <f>IF($A50="","",COUNTIFS(YouTube_Shorts!A:A,$A50,YouTube_Shorts!B:B,$B50))</f>
        <v/>
      </c>
      <c r="H50" s="7" t="str">
        <f>IF($A50="","",SUMIFS(YouTube_Shorts!F:F,YouTube_Shorts!A:A,$A50,YouTube_Shorts!B:B,$B50))</f>
        <v/>
      </c>
      <c r="I50" s="7" t="str">
        <f>IF($A50="","",SUMIFS(YouTube_Shorts!G:G,YouTube_Shorts!A:A,$A50,YouTube_Shorts!B:B,$B50))</f>
        <v/>
      </c>
      <c r="J50" s="7" t="str">
        <f t="shared" si="1"/>
        <v/>
      </c>
      <c r="K50" s="7" t="str">
        <f>IF($A50="","",SUMIFS(Audio!D:D,Audio!A:A,$A50,Audio!B:B,$B50))</f>
        <v/>
      </c>
      <c r="L50" s="7" t="str">
        <f>IF($A50="","",COUNTIFS(TikTok_Posts!A:A,$A50,TikTok_Posts!B:B,$B50))</f>
        <v/>
      </c>
      <c r="M50" s="7" t="str">
        <f>IF($A50="","",SUMIFS(TikTok_Posts!E:E,TikTok_Posts!A:A,$A50,TikTok_Posts!B:B,$B50))</f>
        <v/>
      </c>
      <c r="N50" s="7" t="str">
        <f>IF($A50="","",COUNTIFS(Instagram_Posts!A:A,$A50,Instagram_Posts!B:B,$B50))</f>
        <v/>
      </c>
      <c r="O50" s="7" t="str">
        <f>IF($A50="","",SUMIFS(Instagram_Posts!E:E,Instagram_Posts!A:A,$A50,Instagram_Posts!B:B,$B50))</f>
        <v/>
      </c>
      <c r="P50" s="7" t="str">
        <f>IF($A50="","",SUMIFS(Blog!E:E,Blog!B:B,$A50,Blog!C:C,$B50))</f>
        <v/>
      </c>
      <c r="Q50" s="7" t="str">
        <f>IF($A50="","",COUNTIFS(LinkedIn_Posts!A:A,$A50,LinkedIn_Posts!B:B,$B50))</f>
        <v/>
      </c>
      <c r="R50" s="7" t="str">
        <f>IF($A50="","",SUMIFS(LinkedIn_Posts!F:F,LinkedIn_Posts!A:A,$A50,LinkedIn_Posts!B:B,$B50))</f>
        <v/>
      </c>
      <c r="S50" s="7" t="str">
        <f>IF($A50="","",SUMIFS(LinkedIn_Posts!G:G,LinkedIn_Posts!A:A,$A50,LinkedIn_Posts!B:B,$B50))</f>
        <v/>
      </c>
      <c r="T50" s="7" t="str">
        <f>IF($A50="","",SUMIFS(LinkedIn_Posts!H:H,LinkedIn_Posts!A:A,$A50,LinkedIn_Posts!B:B,$B50))</f>
        <v/>
      </c>
      <c r="U50" s="7" t="str">
        <f>IF($A50="","",SUMIFS(LinkedIn_Posts!I:I,LinkedIn_Posts!A:A,$A50,LinkedIn_Posts!B:B,$B50))</f>
        <v/>
      </c>
    </row>
    <row r="51">
      <c r="A51" s="7" t="s">
        <v>47</v>
      </c>
      <c r="B51" s="7" t="s">
        <v>47</v>
      </c>
      <c r="C51" s="7" t="s">
        <v>47</v>
      </c>
      <c r="D51" s="7" t="str">
        <f>IF($A51="","",SUMIFS(YouTube_Long!G:G,YouTube_Long!A:A,$A51,YouTube_Long!B:B,$B51))</f>
        <v/>
      </c>
      <c r="E51" s="7" t="str">
        <f>IF($A51="","",SUMIFS(YouTube_Long!H:H,YouTube_Long!A:A,$A51,YouTube_Long!B:B,$B51))</f>
        <v/>
      </c>
      <c r="F51" s="7" t="str">
        <f>IF($A51="","",SUMIFS(YouTube_Long!I:I,YouTube_Long!A:A,$A51,YouTube_Long!B:B,$B51))</f>
        <v/>
      </c>
      <c r="G51" s="7" t="str">
        <f>IF($A51="","",COUNTIFS(YouTube_Shorts!A:A,$A51,YouTube_Shorts!B:B,$B51))</f>
        <v/>
      </c>
      <c r="H51" s="7" t="str">
        <f>IF($A51="","",SUMIFS(YouTube_Shorts!F:F,YouTube_Shorts!A:A,$A51,YouTube_Shorts!B:B,$B51))</f>
        <v/>
      </c>
      <c r="I51" s="7" t="str">
        <f>IF($A51="","",SUMIFS(YouTube_Shorts!G:G,YouTube_Shorts!A:A,$A51,YouTube_Shorts!B:B,$B51))</f>
        <v/>
      </c>
      <c r="J51" s="7" t="str">
        <f t="shared" si="1"/>
        <v/>
      </c>
      <c r="K51" s="7" t="str">
        <f>IF($A51="","",SUMIFS(Audio!D:D,Audio!A:A,$A51,Audio!B:B,$B51))</f>
        <v/>
      </c>
      <c r="L51" s="7" t="str">
        <f>IF($A51="","",COUNTIFS(TikTok_Posts!A:A,$A51,TikTok_Posts!B:B,$B51))</f>
        <v/>
      </c>
      <c r="M51" s="7" t="str">
        <f>IF($A51="","",SUMIFS(TikTok_Posts!E:E,TikTok_Posts!A:A,$A51,TikTok_Posts!B:B,$B51))</f>
        <v/>
      </c>
      <c r="N51" s="7" t="str">
        <f>IF($A51="","",COUNTIFS(Instagram_Posts!A:A,$A51,Instagram_Posts!B:B,$B51))</f>
        <v/>
      </c>
      <c r="O51" s="7" t="str">
        <f>IF($A51="","",SUMIFS(Instagram_Posts!E:E,Instagram_Posts!A:A,$A51,Instagram_Posts!B:B,$B51))</f>
        <v/>
      </c>
      <c r="P51" s="7" t="str">
        <f>IF($A51="","",SUMIFS(Blog!E:E,Blog!B:B,$A51,Blog!C:C,$B51))</f>
        <v/>
      </c>
      <c r="Q51" s="7" t="str">
        <f>IF($A51="","",COUNTIFS(LinkedIn_Posts!A:A,$A51,LinkedIn_Posts!B:B,$B51))</f>
        <v/>
      </c>
      <c r="R51" s="7" t="str">
        <f>IF($A51="","",SUMIFS(LinkedIn_Posts!F:F,LinkedIn_Posts!A:A,$A51,LinkedIn_Posts!B:B,$B51))</f>
        <v/>
      </c>
      <c r="S51" s="7" t="str">
        <f>IF($A51="","",SUMIFS(LinkedIn_Posts!G:G,LinkedIn_Posts!A:A,$A51,LinkedIn_Posts!B:B,$B51))</f>
        <v/>
      </c>
      <c r="T51" s="7" t="str">
        <f>IF($A51="","",SUMIFS(LinkedIn_Posts!H:H,LinkedIn_Posts!A:A,$A51,LinkedIn_Posts!B:B,$B51))</f>
        <v/>
      </c>
      <c r="U51" s="7" t="str">
        <f>IF($A51="","",SUMIFS(LinkedIn_Posts!I:I,LinkedIn_Posts!A:A,$A51,LinkedIn_Posts!B:B,$B51))</f>
        <v/>
      </c>
    </row>
    <row r="52">
      <c r="A52" s="7" t="s">
        <v>47</v>
      </c>
      <c r="B52" s="7" t="s">
        <v>47</v>
      </c>
      <c r="C52" s="7" t="s">
        <v>47</v>
      </c>
      <c r="D52" s="7" t="str">
        <f>IF($A52="","",SUMIFS(YouTube_Long!G:G,YouTube_Long!A:A,$A52,YouTube_Long!B:B,$B52))</f>
        <v/>
      </c>
      <c r="E52" s="7" t="str">
        <f>IF($A52="","",SUMIFS(YouTube_Long!H:H,YouTube_Long!A:A,$A52,YouTube_Long!B:B,$B52))</f>
        <v/>
      </c>
      <c r="F52" s="7" t="str">
        <f>IF($A52="","",SUMIFS(YouTube_Long!I:I,YouTube_Long!A:A,$A52,YouTube_Long!B:B,$B52))</f>
        <v/>
      </c>
      <c r="G52" s="7" t="str">
        <f>IF($A52="","",COUNTIFS(YouTube_Shorts!A:A,$A52,YouTube_Shorts!B:B,$B52))</f>
        <v/>
      </c>
      <c r="H52" s="7" t="str">
        <f>IF($A52="","",SUMIFS(YouTube_Shorts!F:F,YouTube_Shorts!A:A,$A52,YouTube_Shorts!B:B,$B52))</f>
        <v/>
      </c>
      <c r="I52" s="7" t="str">
        <f>IF($A52="","",SUMIFS(YouTube_Shorts!G:G,YouTube_Shorts!A:A,$A52,YouTube_Shorts!B:B,$B52))</f>
        <v/>
      </c>
      <c r="J52" s="7" t="str">
        <f t="shared" si="1"/>
        <v/>
      </c>
      <c r="K52" s="7" t="str">
        <f>IF($A52="","",SUMIFS(Audio!D:D,Audio!A:A,$A52,Audio!B:B,$B52))</f>
        <v/>
      </c>
      <c r="L52" s="7" t="str">
        <f>IF($A52="","",COUNTIFS(TikTok_Posts!A:A,$A52,TikTok_Posts!B:B,$B52))</f>
        <v/>
      </c>
      <c r="M52" s="7" t="str">
        <f>IF($A52="","",SUMIFS(TikTok_Posts!E:E,TikTok_Posts!A:A,$A52,TikTok_Posts!B:B,$B52))</f>
        <v/>
      </c>
      <c r="N52" s="7" t="str">
        <f>IF($A52="","",COUNTIFS(Instagram_Posts!A:A,$A52,Instagram_Posts!B:B,$B52))</f>
        <v/>
      </c>
      <c r="O52" s="7" t="str">
        <f>IF($A52="","",SUMIFS(Instagram_Posts!E:E,Instagram_Posts!A:A,$A52,Instagram_Posts!B:B,$B52))</f>
        <v/>
      </c>
      <c r="P52" s="7" t="str">
        <f>IF($A52="","",SUMIFS(Blog!E:E,Blog!B:B,$A52,Blog!C:C,$B52))</f>
        <v/>
      </c>
      <c r="Q52" s="7" t="str">
        <f>IF($A52="","",COUNTIFS(LinkedIn_Posts!A:A,$A52,LinkedIn_Posts!B:B,$B52))</f>
        <v/>
      </c>
      <c r="R52" s="7" t="str">
        <f>IF($A52="","",SUMIFS(LinkedIn_Posts!F:F,LinkedIn_Posts!A:A,$A52,LinkedIn_Posts!B:B,$B52))</f>
        <v/>
      </c>
      <c r="S52" s="7" t="str">
        <f>IF($A52="","",SUMIFS(LinkedIn_Posts!G:G,LinkedIn_Posts!A:A,$A52,LinkedIn_Posts!B:B,$B52))</f>
        <v/>
      </c>
      <c r="T52" s="7" t="str">
        <f>IF($A52="","",SUMIFS(LinkedIn_Posts!H:H,LinkedIn_Posts!A:A,$A52,LinkedIn_Posts!B:B,$B52))</f>
        <v/>
      </c>
      <c r="U52" s="7" t="str">
        <f>IF($A52="","",SUMIFS(LinkedIn_Posts!I:I,LinkedIn_Posts!A:A,$A52,LinkedIn_Posts!B:B,$B52))</f>
        <v/>
      </c>
    </row>
    <row r="53">
      <c r="A53" s="7" t="s">
        <v>47</v>
      </c>
      <c r="B53" s="7" t="s">
        <v>47</v>
      </c>
      <c r="C53" s="7" t="s">
        <v>47</v>
      </c>
      <c r="D53" s="7" t="str">
        <f>IF($A53="","",SUMIFS(YouTube_Long!G:G,YouTube_Long!A:A,$A53,YouTube_Long!B:B,$B53))</f>
        <v/>
      </c>
      <c r="E53" s="7" t="str">
        <f>IF($A53="","",SUMIFS(YouTube_Long!H:H,YouTube_Long!A:A,$A53,YouTube_Long!B:B,$B53))</f>
        <v/>
      </c>
      <c r="F53" s="7" t="str">
        <f>IF($A53="","",SUMIFS(YouTube_Long!I:I,YouTube_Long!A:A,$A53,YouTube_Long!B:B,$B53))</f>
        <v/>
      </c>
      <c r="G53" s="7" t="str">
        <f>IF($A53="","",COUNTIFS(YouTube_Shorts!A:A,$A53,YouTube_Shorts!B:B,$B53))</f>
        <v/>
      </c>
      <c r="H53" s="7" t="str">
        <f>IF($A53="","",SUMIFS(YouTube_Shorts!F:F,YouTube_Shorts!A:A,$A53,YouTube_Shorts!B:B,$B53))</f>
        <v/>
      </c>
      <c r="I53" s="7" t="str">
        <f>IF($A53="","",SUMIFS(YouTube_Shorts!G:G,YouTube_Shorts!A:A,$A53,YouTube_Shorts!B:B,$B53))</f>
        <v/>
      </c>
      <c r="J53" s="7" t="str">
        <f t="shared" si="1"/>
        <v/>
      </c>
      <c r="K53" s="7" t="str">
        <f>IF($A53="","",SUMIFS(Audio!D:D,Audio!A:A,$A53,Audio!B:B,$B53))</f>
        <v/>
      </c>
      <c r="L53" s="7" t="str">
        <f>IF($A53="","",COUNTIFS(TikTok_Posts!A:A,$A53,TikTok_Posts!B:B,$B53))</f>
        <v/>
      </c>
      <c r="M53" s="7" t="str">
        <f>IF($A53="","",SUMIFS(TikTok_Posts!E:E,TikTok_Posts!A:A,$A53,TikTok_Posts!B:B,$B53))</f>
        <v/>
      </c>
      <c r="N53" s="7" t="str">
        <f>IF($A53="","",COUNTIFS(Instagram_Posts!A:A,$A53,Instagram_Posts!B:B,$B53))</f>
        <v/>
      </c>
      <c r="O53" s="7" t="str">
        <f>IF($A53="","",SUMIFS(Instagram_Posts!E:E,Instagram_Posts!A:A,$A53,Instagram_Posts!B:B,$B53))</f>
        <v/>
      </c>
      <c r="P53" s="7" t="str">
        <f>IF($A53="","",SUMIFS(Blog!E:E,Blog!B:B,$A53,Blog!C:C,$B53))</f>
        <v/>
      </c>
      <c r="Q53" s="7" t="str">
        <f>IF($A53="","",COUNTIFS(LinkedIn_Posts!A:A,$A53,LinkedIn_Posts!B:B,$B53))</f>
        <v/>
      </c>
      <c r="R53" s="7" t="str">
        <f>IF($A53="","",SUMIFS(LinkedIn_Posts!F:F,LinkedIn_Posts!A:A,$A53,LinkedIn_Posts!B:B,$B53))</f>
        <v/>
      </c>
      <c r="S53" s="7" t="str">
        <f>IF($A53="","",SUMIFS(LinkedIn_Posts!G:G,LinkedIn_Posts!A:A,$A53,LinkedIn_Posts!B:B,$B53))</f>
        <v/>
      </c>
      <c r="T53" s="7" t="str">
        <f>IF($A53="","",SUMIFS(LinkedIn_Posts!H:H,LinkedIn_Posts!A:A,$A53,LinkedIn_Posts!B:B,$B53))</f>
        <v/>
      </c>
      <c r="U53" s="7" t="str">
        <f>IF($A53="","",SUMIFS(LinkedIn_Posts!I:I,LinkedIn_Posts!A:A,$A53,LinkedIn_Posts!B:B,$B53))</f>
        <v/>
      </c>
    </row>
    <row r="54">
      <c r="A54" s="7" t="s">
        <v>47</v>
      </c>
      <c r="B54" s="7" t="s">
        <v>47</v>
      </c>
      <c r="C54" s="7" t="s">
        <v>47</v>
      </c>
      <c r="D54" s="7" t="str">
        <f>IF($A54="","",SUMIFS(YouTube_Long!G:G,YouTube_Long!A:A,$A54,YouTube_Long!B:B,$B54))</f>
        <v/>
      </c>
      <c r="E54" s="7" t="str">
        <f>IF($A54="","",SUMIFS(YouTube_Long!H:H,YouTube_Long!A:A,$A54,YouTube_Long!B:B,$B54))</f>
        <v/>
      </c>
      <c r="F54" s="7" t="str">
        <f>IF($A54="","",SUMIFS(YouTube_Long!I:I,YouTube_Long!A:A,$A54,YouTube_Long!B:B,$B54))</f>
        <v/>
      </c>
      <c r="G54" s="7" t="str">
        <f>IF($A54="","",COUNTIFS(YouTube_Shorts!A:A,$A54,YouTube_Shorts!B:B,$B54))</f>
        <v/>
      </c>
      <c r="H54" s="7" t="str">
        <f>IF($A54="","",SUMIFS(YouTube_Shorts!F:F,YouTube_Shorts!A:A,$A54,YouTube_Shorts!B:B,$B54))</f>
        <v/>
      </c>
      <c r="I54" s="7" t="str">
        <f>IF($A54="","",SUMIFS(YouTube_Shorts!G:G,YouTube_Shorts!A:A,$A54,YouTube_Shorts!B:B,$B54))</f>
        <v/>
      </c>
      <c r="J54" s="7" t="str">
        <f t="shared" si="1"/>
        <v/>
      </c>
      <c r="K54" s="7" t="str">
        <f>IF($A54="","",SUMIFS(Audio!D:D,Audio!A:A,$A54,Audio!B:B,$B54))</f>
        <v/>
      </c>
      <c r="L54" s="7" t="str">
        <f>IF($A54="","",COUNTIFS(TikTok_Posts!A:A,$A54,TikTok_Posts!B:B,$B54))</f>
        <v/>
      </c>
      <c r="M54" s="7" t="str">
        <f>IF($A54="","",SUMIFS(TikTok_Posts!E:E,TikTok_Posts!A:A,$A54,TikTok_Posts!B:B,$B54))</f>
        <v/>
      </c>
      <c r="N54" s="7" t="str">
        <f>IF($A54="","",COUNTIFS(Instagram_Posts!A:A,$A54,Instagram_Posts!B:B,$B54))</f>
        <v/>
      </c>
      <c r="O54" s="7" t="str">
        <f>IF($A54="","",SUMIFS(Instagram_Posts!E:E,Instagram_Posts!A:A,$A54,Instagram_Posts!B:B,$B54))</f>
        <v/>
      </c>
      <c r="P54" s="7" t="str">
        <f>IF($A54="","",SUMIFS(Blog!E:E,Blog!B:B,$A54,Blog!C:C,$B54))</f>
        <v/>
      </c>
      <c r="Q54" s="7" t="str">
        <f>IF($A54="","",COUNTIFS(LinkedIn_Posts!A:A,$A54,LinkedIn_Posts!B:B,$B54))</f>
        <v/>
      </c>
      <c r="R54" s="7" t="str">
        <f>IF($A54="","",SUMIFS(LinkedIn_Posts!F:F,LinkedIn_Posts!A:A,$A54,LinkedIn_Posts!B:B,$B54))</f>
        <v/>
      </c>
      <c r="S54" s="7" t="str">
        <f>IF($A54="","",SUMIFS(LinkedIn_Posts!G:G,LinkedIn_Posts!A:A,$A54,LinkedIn_Posts!B:B,$B54))</f>
        <v/>
      </c>
      <c r="T54" s="7" t="str">
        <f>IF($A54="","",SUMIFS(LinkedIn_Posts!H:H,LinkedIn_Posts!A:A,$A54,LinkedIn_Posts!B:B,$B54))</f>
        <v/>
      </c>
      <c r="U54" s="7" t="str">
        <f>IF($A54="","",SUMIFS(LinkedIn_Posts!I:I,LinkedIn_Posts!A:A,$A54,LinkedIn_Posts!B:B,$B54))</f>
        <v/>
      </c>
    </row>
    <row r="55">
      <c r="A55" s="7" t="s">
        <v>47</v>
      </c>
      <c r="B55" s="7" t="s">
        <v>47</v>
      </c>
      <c r="C55" s="7" t="s">
        <v>47</v>
      </c>
      <c r="D55" s="7" t="str">
        <f>IF($A55="","",SUMIFS(YouTube_Long!G:G,YouTube_Long!A:A,$A55,YouTube_Long!B:B,$B55))</f>
        <v/>
      </c>
      <c r="E55" s="7" t="str">
        <f>IF($A55="","",SUMIFS(YouTube_Long!H:H,YouTube_Long!A:A,$A55,YouTube_Long!B:B,$B55))</f>
        <v/>
      </c>
      <c r="F55" s="7" t="str">
        <f>IF($A55="","",SUMIFS(YouTube_Long!I:I,YouTube_Long!A:A,$A55,YouTube_Long!B:B,$B55))</f>
        <v/>
      </c>
      <c r="G55" s="7" t="str">
        <f>IF($A55="","",COUNTIFS(YouTube_Shorts!A:A,$A55,YouTube_Shorts!B:B,$B55))</f>
        <v/>
      </c>
      <c r="H55" s="7" t="str">
        <f>IF($A55="","",SUMIFS(YouTube_Shorts!F:F,YouTube_Shorts!A:A,$A55,YouTube_Shorts!B:B,$B55))</f>
        <v/>
      </c>
      <c r="I55" s="7" t="str">
        <f>IF($A55="","",SUMIFS(YouTube_Shorts!G:G,YouTube_Shorts!A:A,$A55,YouTube_Shorts!B:B,$B55))</f>
        <v/>
      </c>
      <c r="J55" s="7" t="str">
        <f t="shared" si="1"/>
        <v/>
      </c>
      <c r="K55" s="7" t="str">
        <f>IF($A55="","",SUMIFS(Audio!D:D,Audio!A:A,$A55,Audio!B:B,$B55))</f>
        <v/>
      </c>
      <c r="L55" s="7" t="str">
        <f>IF($A55="","",COUNTIFS(TikTok_Posts!A:A,$A55,TikTok_Posts!B:B,$B55))</f>
        <v/>
      </c>
      <c r="M55" s="7" t="str">
        <f>IF($A55="","",SUMIFS(TikTok_Posts!E:E,TikTok_Posts!A:A,$A55,TikTok_Posts!B:B,$B55))</f>
        <v/>
      </c>
      <c r="N55" s="7" t="str">
        <f>IF($A55="","",COUNTIFS(Instagram_Posts!A:A,$A55,Instagram_Posts!B:B,$B55))</f>
        <v/>
      </c>
      <c r="O55" s="7" t="str">
        <f>IF($A55="","",SUMIFS(Instagram_Posts!E:E,Instagram_Posts!A:A,$A55,Instagram_Posts!B:B,$B55))</f>
        <v/>
      </c>
      <c r="P55" s="7" t="str">
        <f>IF($A55="","",SUMIFS(Blog!E:E,Blog!B:B,$A55,Blog!C:C,$B55))</f>
        <v/>
      </c>
      <c r="Q55" s="7" t="str">
        <f>IF($A55="","",COUNTIFS(LinkedIn_Posts!A:A,$A55,LinkedIn_Posts!B:B,$B55))</f>
        <v/>
      </c>
      <c r="R55" s="7" t="str">
        <f>IF($A55="","",SUMIFS(LinkedIn_Posts!F:F,LinkedIn_Posts!A:A,$A55,LinkedIn_Posts!B:B,$B55))</f>
        <v/>
      </c>
      <c r="S55" s="7" t="str">
        <f>IF($A55="","",SUMIFS(LinkedIn_Posts!G:G,LinkedIn_Posts!A:A,$A55,LinkedIn_Posts!B:B,$B55))</f>
        <v/>
      </c>
      <c r="T55" s="7" t="str">
        <f>IF($A55="","",SUMIFS(LinkedIn_Posts!H:H,LinkedIn_Posts!A:A,$A55,LinkedIn_Posts!B:B,$B55))</f>
        <v/>
      </c>
      <c r="U55" s="7" t="str">
        <f>IF($A55="","",SUMIFS(LinkedIn_Posts!I:I,LinkedIn_Posts!A:A,$A55,LinkedIn_Posts!B:B,$B55))</f>
        <v/>
      </c>
    </row>
    <row r="56">
      <c r="A56" s="7" t="s">
        <v>47</v>
      </c>
      <c r="B56" s="7" t="s">
        <v>47</v>
      </c>
      <c r="C56" s="7" t="s">
        <v>47</v>
      </c>
      <c r="D56" s="7" t="str">
        <f>IF($A56="","",SUMIFS(YouTube_Long!G:G,YouTube_Long!A:A,$A56,YouTube_Long!B:B,$B56))</f>
        <v/>
      </c>
      <c r="E56" s="7" t="str">
        <f>IF($A56="","",SUMIFS(YouTube_Long!H:H,YouTube_Long!A:A,$A56,YouTube_Long!B:B,$B56))</f>
        <v/>
      </c>
      <c r="F56" s="7" t="str">
        <f>IF($A56="","",SUMIFS(YouTube_Long!I:I,YouTube_Long!A:A,$A56,YouTube_Long!B:B,$B56))</f>
        <v/>
      </c>
      <c r="G56" s="7" t="str">
        <f>IF($A56="","",COUNTIFS(YouTube_Shorts!A:A,$A56,YouTube_Shorts!B:B,$B56))</f>
        <v/>
      </c>
      <c r="H56" s="7" t="str">
        <f>IF($A56="","",SUMIFS(YouTube_Shorts!F:F,YouTube_Shorts!A:A,$A56,YouTube_Shorts!B:B,$B56))</f>
        <v/>
      </c>
      <c r="I56" s="7" t="str">
        <f>IF($A56="","",SUMIFS(YouTube_Shorts!G:G,YouTube_Shorts!A:A,$A56,YouTube_Shorts!B:B,$B56))</f>
        <v/>
      </c>
      <c r="J56" s="7" t="str">
        <f t="shared" si="1"/>
        <v/>
      </c>
      <c r="K56" s="7" t="str">
        <f>IF($A56="","",SUMIFS(Audio!D:D,Audio!A:A,$A56,Audio!B:B,$B56))</f>
        <v/>
      </c>
      <c r="L56" s="7" t="str">
        <f>IF($A56="","",COUNTIFS(TikTok_Posts!A:A,$A56,TikTok_Posts!B:B,$B56))</f>
        <v/>
      </c>
      <c r="M56" s="7" t="str">
        <f>IF($A56="","",SUMIFS(TikTok_Posts!E:E,TikTok_Posts!A:A,$A56,TikTok_Posts!B:B,$B56))</f>
        <v/>
      </c>
      <c r="N56" s="7" t="str">
        <f>IF($A56="","",COUNTIFS(Instagram_Posts!A:A,$A56,Instagram_Posts!B:B,$B56))</f>
        <v/>
      </c>
      <c r="O56" s="7" t="str">
        <f>IF($A56="","",SUMIFS(Instagram_Posts!E:E,Instagram_Posts!A:A,$A56,Instagram_Posts!B:B,$B56))</f>
        <v/>
      </c>
      <c r="P56" s="7" t="str">
        <f>IF($A56="","",SUMIFS(Blog!E:E,Blog!B:B,$A56,Blog!C:C,$B56))</f>
        <v/>
      </c>
      <c r="Q56" s="7" t="str">
        <f>IF($A56="","",COUNTIFS(LinkedIn_Posts!A:A,$A56,LinkedIn_Posts!B:B,$B56))</f>
        <v/>
      </c>
      <c r="R56" s="7" t="str">
        <f>IF($A56="","",SUMIFS(LinkedIn_Posts!F:F,LinkedIn_Posts!A:A,$A56,LinkedIn_Posts!B:B,$B56))</f>
        <v/>
      </c>
      <c r="S56" s="7" t="str">
        <f>IF($A56="","",SUMIFS(LinkedIn_Posts!G:G,LinkedIn_Posts!A:A,$A56,LinkedIn_Posts!B:B,$B56))</f>
        <v/>
      </c>
      <c r="T56" s="7" t="str">
        <f>IF($A56="","",SUMIFS(LinkedIn_Posts!H:H,LinkedIn_Posts!A:A,$A56,LinkedIn_Posts!B:B,$B56))</f>
        <v/>
      </c>
      <c r="U56" s="7" t="str">
        <f>IF($A56="","",SUMIFS(LinkedIn_Posts!I:I,LinkedIn_Posts!A:A,$A56,LinkedIn_Posts!B:B,$B56))</f>
        <v/>
      </c>
    </row>
    <row r="57">
      <c r="A57" s="7" t="s">
        <v>47</v>
      </c>
      <c r="B57" s="7" t="s">
        <v>47</v>
      </c>
      <c r="C57" s="7" t="s">
        <v>47</v>
      </c>
      <c r="D57" s="7" t="str">
        <f>IF($A57="","",SUMIFS(YouTube_Long!G:G,YouTube_Long!A:A,$A57,YouTube_Long!B:B,$B57))</f>
        <v/>
      </c>
      <c r="E57" s="7" t="str">
        <f>IF($A57="","",SUMIFS(YouTube_Long!H:H,YouTube_Long!A:A,$A57,YouTube_Long!B:B,$B57))</f>
        <v/>
      </c>
      <c r="F57" s="7" t="str">
        <f>IF($A57="","",SUMIFS(YouTube_Long!I:I,YouTube_Long!A:A,$A57,YouTube_Long!B:B,$B57))</f>
        <v/>
      </c>
      <c r="G57" s="7" t="str">
        <f>IF($A57="","",COUNTIFS(YouTube_Shorts!A:A,$A57,YouTube_Shorts!B:B,$B57))</f>
        <v/>
      </c>
      <c r="H57" s="7" t="str">
        <f>IF($A57="","",SUMIFS(YouTube_Shorts!F:F,YouTube_Shorts!A:A,$A57,YouTube_Shorts!B:B,$B57))</f>
        <v/>
      </c>
      <c r="I57" s="7" t="str">
        <f>IF($A57="","",SUMIFS(YouTube_Shorts!G:G,YouTube_Shorts!A:A,$A57,YouTube_Shorts!B:B,$B57))</f>
        <v/>
      </c>
      <c r="J57" s="7" t="str">
        <f t="shared" si="1"/>
        <v/>
      </c>
      <c r="K57" s="7" t="str">
        <f>IF($A57="","",SUMIFS(Audio!D:D,Audio!A:A,$A57,Audio!B:B,$B57))</f>
        <v/>
      </c>
      <c r="L57" s="7" t="str">
        <f>IF($A57="","",COUNTIFS(TikTok_Posts!A:A,$A57,TikTok_Posts!B:B,$B57))</f>
        <v/>
      </c>
      <c r="M57" s="7" t="str">
        <f>IF($A57="","",SUMIFS(TikTok_Posts!E:E,TikTok_Posts!A:A,$A57,TikTok_Posts!B:B,$B57))</f>
        <v/>
      </c>
      <c r="N57" s="7" t="str">
        <f>IF($A57="","",COUNTIFS(Instagram_Posts!A:A,$A57,Instagram_Posts!B:B,$B57))</f>
        <v/>
      </c>
      <c r="O57" s="7" t="str">
        <f>IF($A57="","",SUMIFS(Instagram_Posts!E:E,Instagram_Posts!A:A,$A57,Instagram_Posts!B:B,$B57))</f>
        <v/>
      </c>
      <c r="P57" s="7" t="str">
        <f>IF($A57="","",SUMIFS(Blog!E:E,Blog!B:B,$A57,Blog!C:C,$B57))</f>
        <v/>
      </c>
      <c r="Q57" s="7" t="str">
        <f>IF($A57="","",COUNTIFS(LinkedIn_Posts!A:A,$A57,LinkedIn_Posts!B:B,$B57))</f>
        <v/>
      </c>
      <c r="R57" s="7" t="str">
        <f>IF($A57="","",SUMIFS(LinkedIn_Posts!F:F,LinkedIn_Posts!A:A,$A57,LinkedIn_Posts!B:B,$B57))</f>
        <v/>
      </c>
      <c r="S57" s="7" t="str">
        <f>IF($A57="","",SUMIFS(LinkedIn_Posts!G:G,LinkedIn_Posts!A:A,$A57,LinkedIn_Posts!B:B,$B57))</f>
        <v/>
      </c>
      <c r="T57" s="7" t="str">
        <f>IF($A57="","",SUMIFS(LinkedIn_Posts!H:H,LinkedIn_Posts!A:A,$A57,LinkedIn_Posts!B:B,$B57))</f>
        <v/>
      </c>
      <c r="U57" s="7" t="str">
        <f>IF($A57="","",SUMIFS(LinkedIn_Posts!I:I,LinkedIn_Posts!A:A,$A57,LinkedIn_Posts!B:B,$B57))</f>
        <v/>
      </c>
    </row>
    <row r="58">
      <c r="A58" s="7" t="s">
        <v>47</v>
      </c>
      <c r="B58" s="7" t="s">
        <v>47</v>
      </c>
      <c r="C58" s="7" t="s">
        <v>47</v>
      </c>
      <c r="D58" s="7" t="str">
        <f>IF($A58="","",SUMIFS(YouTube_Long!G:G,YouTube_Long!A:A,$A58,YouTube_Long!B:B,$B58))</f>
        <v/>
      </c>
      <c r="E58" s="7" t="str">
        <f>IF($A58="","",SUMIFS(YouTube_Long!H:H,YouTube_Long!A:A,$A58,YouTube_Long!B:B,$B58))</f>
        <v/>
      </c>
      <c r="F58" s="7" t="str">
        <f>IF($A58="","",SUMIFS(YouTube_Long!I:I,YouTube_Long!A:A,$A58,YouTube_Long!B:B,$B58))</f>
        <v/>
      </c>
      <c r="G58" s="7" t="str">
        <f>IF($A58="","",COUNTIFS(YouTube_Shorts!A:A,$A58,YouTube_Shorts!B:B,$B58))</f>
        <v/>
      </c>
      <c r="H58" s="7" t="str">
        <f>IF($A58="","",SUMIFS(YouTube_Shorts!F:F,YouTube_Shorts!A:A,$A58,YouTube_Shorts!B:B,$B58))</f>
        <v/>
      </c>
      <c r="I58" s="7" t="str">
        <f>IF($A58="","",SUMIFS(YouTube_Shorts!G:G,YouTube_Shorts!A:A,$A58,YouTube_Shorts!B:B,$B58))</f>
        <v/>
      </c>
      <c r="J58" s="7" t="str">
        <f t="shared" si="1"/>
        <v/>
      </c>
      <c r="K58" s="7" t="str">
        <f>IF($A58="","",SUMIFS(Audio!D:D,Audio!A:A,$A58,Audio!B:B,$B58))</f>
        <v/>
      </c>
      <c r="L58" s="7" t="str">
        <f>IF($A58="","",COUNTIFS(TikTok_Posts!A:A,$A58,TikTok_Posts!B:B,$B58))</f>
        <v/>
      </c>
      <c r="M58" s="7" t="str">
        <f>IF($A58="","",SUMIFS(TikTok_Posts!E:E,TikTok_Posts!A:A,$A58,TikTok_Posts!B:B,$B58))</f>
        <v/>
      </c>
      <c r="N58" s="7" t="str">
        <f>IF($A58="","",COUNTIFS(Instagram_Posts!A:A,$A58,Instagram_Posts!B:B,$B58))</f>
        <v/>
      </c>
      <c r="O58" s="7" t="str">
        <f>IF($A58="","",SUMIFS(Instagram_Posts!E:E,Instagram_Posts!A:A,$A58,Instagram_Posts!B:B,$B58))</f>
        <v/>
      </c>
      <c r="P58" s="7" t="str">
        <f>IF($A58="","",SUMIFS(Blog!E:E,Blog!B:B,$A58,Blog!C:C,$B58))</f>
        <v/>
      </c>
      <c r="Q58" s="7" t="str">
        <f>IF($A58="","",COUNTIFS(LinkedIn_Posts!A:A,$A58,LinkedIn_Posts!B:B,$B58))</f>
        <v/>
      </c>
      <c r="R58" s="7" t="str">
        <f>IF($A58="","",SUMIFS(LinkedIn_Posts!F:F,LinkedIn_Posts!A:A,$A58,LinkedIn_Posts!B:B,$B58))</f>
        <v/>
      </c>
      <c r="S58" s="7" t="str">
        <f>IF($A58="","",SUMIFS(LinkedIn_Posts!G:G,LinkedIn_Posts!A:A,$A58,LinkedIn_Posts!B:B,$B58))</f>
        <v/>
      </c>
      <c r="T58" s="7" t="str">
        <f>IF($A58="","",SUMIFS(LinkedIn_Posts!H:H,LinkedIn_Posts!A:A,$A58,LinkedIn_Posts!B:B,$B58))</f>
        <v/>
      </c>
      <c r="U58" s="7" t="str">
        <f>IF($A58="","",SUMIFS(LinkedIn_Posts!I:I,LinkedIn_Posts!A:A,$A58,LinkedIn_Posts!B:B,$B58))</f>
        <v/>
      </c>
    </row>
    <row r="59">
      <c r="A59" s="7" t="s">
        <v>47</v>
      </c>
      <c r="B59" s="7" t="s">
        <v>47</v>
      </c>
      <c r="C59" s="7" t="s">
        <v>47</v>
      </c>
      <c r="D59" s="7" t="str">
        <f>IF($A59="","",SUMIFS(YouTube_Long!G:G,YouTube_Long!A:A,$A59,YouTube_Long!B:B,$B59))</f>
        <v/>
      </c>
      <c r="E59" s="7" t="str">
        <f>IF($A59="","",SUMIFS(YouTube_Long!H:H,YouTube_Long!A:A,$A59,YouTube_Long!B:B,$B59))</f>
        <v/>
      </c>
      <c r="F59" s="7" t="str">
        <f>IF($A59="","",SUMIFS(YouTube_Long!I:I,YouTube_Long!A:A,$A59,YouTube_Long!B:B,$B59))</f>
        <v/>
      </c>
      <c r="G59" s="7" t="str">
        <f>IF($A59="","",COUNTIFS(YouTube_Shorts!A:A,$A59,YouTube_Shorts!B:B,$B59))</f>
        <v/>
      </c>
      <c r="H59" s="7" t="str">
        <f>IF($A59="","",SUMIFS(YouTube_Shorts!F:F,YouTube_Shorts!A:A,$A59,YouTube_Shorts!B:B,$B59))</f>
        <v/>
      </c>
      <c r="I59" s="7" t="str">
        <f>IF($A59="","",SUMIFS(YouTube_Shorts!G:G,YouTube_Shorts!A:A,$A59,YouTube_Shorts!B:B,$B59))</f>
        <v/>
      </c>
      <c r="J59" s="7" t="str">
        <f t="shared" si="1"/>
        <v/>
      </c>
      <c r="K59" s="7" t="str">
        <f>IF($A59="","",SUMIFS(Audio!D:D,Audio!A:A,$A59,Audio!B:B,$B59))</f>
        <v/>
      </c>
      <c r="L59" s="7" t="str">
        <f>IF($A59="","",COUNTIFS(TikTok_Posts!A:A,$A59,TikTok_Posts!B:B,$B59))</f>
        <v/>
      </c>
      <c r="M59" s="7" t="str">
        <f>IF($A59="","",SUMIFS(TikTok_Posts!E:E,TikTok_Posts!A:A,$A59,TikTok_Posts!B:B,$B59))</f>
        <v/>
      </c>
      <c r="N59" s="7" t="str">
        <f>IF($A59="","",COUNTIFS(Instagram_Posts!A:A,$A59,Instagram_Posts!B:B,$B59))</f>
        <v/>
      </c>
      <c r="O59" s="7" t="str">
        <f>IF($A59="","",SUMIFS(Instagram_Posts!E:E,Instagram_Posts!A:A,$A59,Instagram_Posts!B:B,$B59))</f>
        <v/>
      </c>
      <c r="P59" s="7" t="str">
        <f>IF($A59="","",SUMIFS(Blog!E:E,Blog!B:B,$A59,Blog!C:C,$B59))</f>
        <v/>
      </c>
      <c r="Q59" s="7" t="str">
        <f>IF($A59="","",COUNTIFS(LinkedIn_Posts!A:A,$A59,LinkedIn_Posts!B:B,$B59))</f>
        <v/>
      </c>
      <c r="R59" s="7" t="str">
        <f>IF($A59="","",SUMIFS(LinkedIn_Posts!F:F,LinkedIn_Posts!A:A,$A59,LinkedIn_Posts!B:B,$B59))</f>
        <v/>
      </c>
      <c r="S59" s="7" t="str">
        <f>IF($A59="","",SUMIFS(LinkedIn_Posts!G:G,LinkedIn_Posts!A:A,$A59,LinkedIn_Posts!B:B,$B59))</f>
        <v/>
      </c>
      <c r="T59" s="7" t="str">
        <f>IF($A59="","",SUMIFS(LinkedIn_Posts!H:H,LinkedIn_Posts!A:A,$A59,LinkedIn_Posts!B:B,$B59))</f>
        <v/>
      </c>
      <c r="U59" s="7" t="str">
        <f>IF($A59="","",SUMIFS(LinkedIn_Posts!I:I,LinkedIn_Posts!A:A,$A59,LinkedIn_Posts!B:B,$B59))</f>
        <v/>
      </c>
    </row>
    <row r="60">
      <c r="A60" s="7" t="s">
        <v>47</v>
      </c>
      <c r="B60" s="7" t="s">
        <v>47</v>
      </c>
      <c r="C60" s="7" t="s">
        <v>47</v>
      </c>
      <c r="D60" s="7" t="str">
        <f>IF($A60="","",SUMIFS(YouTube_Long!G:G,YouTube_Long!A:A,$A60,YouTube_Long!B:B,$B60))</f>
        <v/>
      </c>
      <c r="E60" s="7" t="str">
        <f>IF($A60="","",SUMIFS(YouTube_Long!H:H,YouTube_Long!A:A,$A60,YouTube_Long!B:B,$B60))</f>
        <v/>
      </c>
      <c r="F60" s="7" t="str">
        <f>IF($A60="","",SUMIFS(YouTube_Long!I:I,YouTube_Long!A:A,$A60,YouTube_Long!B:B,$B60))</f>
        <v/>
      </c>
      <c r="G60" s="7" t="str">
        <f>IF($A60="","",COUNTIFS(YouTube_Shorts!A:A,$A60,YouTube_Shorts!B:B,$B60))</f>
        <v/>
      </c>
      <c r="H60" s="7" t="str">
        <f>IF($A60="","",SUMIFS(YouTube_Shorts!F:F,YouTube_Shorts!A:A,$A60,YouTube_Shorts!B:B,$B60))</f>
        <v/>
      </c>
      <c r="I60" s="7" t="str">
        <f>IF($A60="","",SUMIFS(YouTube_Shorts!G:G,YouTube_Shorts!A:A,$A60,YouTube_Shorts!B:B,$B60))</f>
        <v/>
      </c>
      <c r="J60" s="7" t="str">
        <f t="shared" si="1"/>
        <v/>
      </c>
      <c r="K60" s="7" t="str">
        <f>IF($A60="","",SUMIFS(Audio!D:D,Audio!A:A,$A60,Audio!B:B,$B60))</f>
        <v/>
      </c>
      <c r="L60" s="7" t="str">
        <f>IF($A60="","",COUNTIFS(TikTok_Posts!A:A,$A60,TikTok_Posts!B:B,$B60))</f>
        <v/>
      </c>
      <c r="M60" s="7" t="str">
        <f>IF($A60="","",SUMIFS(TikTok_Posts!E:E,TikTok_Posts!A:A,$A60,TikTok_Posts!B:B,$B60))</f>
        <v/>
      </c>
      <c r="N60" s="7" t="str">
        <f>IF($A60="","",COUNTIFS(Instagram_Posts!A:A,$A60,Instagram_Posts!B:B,$B60))</f>
        <v/>
      </c>
      <c r="O60" s="7" t="str">
        <f>IF($A60="","",SUMIFS(Instagram_Posts!E:E,Instagram_Posts!A:A,$A60,Instagram_Posts!B:B,$B60))</f>
        <v/>
      </c>
      <c r="P60" s="7" t="str">
        <f>IF($A60="","",SUMIFS(Blog!E:E,Blog!B:B,$A60,Blog!C:C,$B60))</f>
        <v/>
      </c>
      <c r="Q60" s="7" t="str">
        <f>IF($A60="","",COUNTIFS(LinkedIn_Posts!A:A,$A60,LinkedIn_Posts!B:B,$B60))</f>
        <v/>
      </c>
      <c r="R60" s="7" t="str">
        <f>IF($A60="","",SUMIFS(LinkedIn_Posts!F:F,LinkedIn_Posts!A:A,$A60,LinkedIn_Posts!B:B,$B60))</f>
        <v/>
      </c>
      <c r="S60" s="7" t="str">
        <f>IF($A60="","",SUMIFS(LinkedIn_Posts!G:G,LinkedIn_Posts!A:A,$A60,LinkedIn_Posts!B:B,$B60))</f>
        <v/>
      </c>
      <c r="T60" s="7" t="str">
        <f>IF($A60="","",SUMIFS(LinkedIn_Posts!H:H,LinkedIn_Posts!A:A,$A60,LinkedIn_Posts!B:B,$B60))</f>
        <v/>
      </c>
      <c r="U60" s="7" t="str">
        <f>IF($A60="","",SUMIFS(LinkedIn_Posts!I:I,LinkedIn_Posts!A:A,$A60,LinkedIn_Posts!B:B,$B60))</f>
        <v/>
      </c>
    </row>
    <row r="61">
      <c r="A61" s="7" t="s">
        <v>47</v>
      </c>
      <c r="B61" s="7" t="s">
        <v>47</v>
      </c>
      <c r="C61" s="7" t="s">
        <v>47</v>
      </c>
      <c r="D61" s="7" t="str">
        <f>IF($A61="","",SUMIFS(YouTube_Long!G:G,YouTube_Long!A:A,$A61,YouTube_Long!B:B,$B61))</f>
        <v/>
      </c>
      <c r="E61" s="7" t="str">
        <f>IF($A61="","",SUMIFS(YouTube_Long!H:H,YouTube_Long!A:A,$A61,YouTube_Long!B:B,$B61))</f>
        <v/>
      </c>
      <c r="F61" s="7" t="str">
        <f>IF($A61="","",SUMIFS(YouTube_Long!I:I,YouTube_Long!A:A,$A61,YouTube_Long!B:B,$B61))</f>
        <v/>
      </c>
      <c r="G61" s="7" t="str">
        <f>IF($A61="","",COUNTIFS(YouTube_Shorts!A:A,$A61,YouTube_Shorts!B:B,$B61))</f>
        <v/>
      </c>
      <c r="H61" s="7" t="str">
        <f>IF($A61="","",SUMIFS(YouTube_Shorts!F:F,YouTube_Shorts!A:A,$A61,YouTube_Shorts!B:B,$B61))</f>
        <v/>
      </c>
      <c r="I61" s="7" t="str">
        <f>IF($A61="","",SUMIFS(YouTube_Shorts!G:G,YouTube_Shorts!A:A,$A61,YouTube_Shorts!B:B,$B61))</f>
        <v/>
      </c>
      <c r="J61" s="7" t="str">
        <f t="shared" si="1"/>
        <v/>
      </c>
      <c r="K61" s="7" t="str">
        <f>IF($A61="","",SUMIFS(Audio!D:D,Audio!A:A,$A61,Audio!B:B,$B61))</f>
        <v/>
      </c>
      <c r="L61" s="7" t="str">
        <f>IF($A61="","",COUNTIFS(TikTok_Posts!A:A,$A61,TikTok_Posts!B:B,$B61))</f>
        <v/>
      </c>
      <c r="M61" s="7" t="str">
        <f>IF($A61="","",SUMIFS(TikTok_Posts!E:E,TikTok_Posts!A:A,$A61,TikTok_Posts!B:B,$B61))</f>
        <v/>
      </c>
      <c r="N61" s="7" t="str">
        <f>IF($A61="","",COUNTIFS(Instagram_Posts!A:A,$A61,Instagram_Posts!B:B,$B61))</f>
        <v/>
      </c>
      <c r="O61" s="7" t="str">
        <f>IF($A61="","",SUMIFS(Instagram_Posts!E:E,Instagram_Posts!A:A,$A61,Instagram_Posts!B:B,$B61))</f>
        <v/>
      </c>
      <c r="P61" s="7" t="str">
        <f>IF($A61="","",SUMIFS(Blog!E:E,Blog!B:B,$A61,Blog!C:C,$B61))</f>
        <v/>
      </c>
      <c r="Q61" s="7" t="str">
        <f>IF($A61="","",COUNTIFS(LinkedIn_Posts!A:A,$A61,LinkedIn_Posts!B:B,$B61))</f>
        <v/>
      </c>
      <c r="R61" s="7" t="str">
        <f>IF($A61="","",SUMIFS(LinkedIn_Posts!F:F,LinkedIn_Posts!A:A,$A61,LinkedIn_Posts!B:B,$B61))</f>
        <v/>
      </c>
      <c r="S61" s="7" t="str">
        <f>IF($A61="","",SUMIFS(LinkedIn_Posts!G:G,LinkedIn_Posts!A:A,$A61,LinkedIn_Posts!B:B,$B61))</f>
        <v/>
      </c>
      <c r="T61" s="7" t="str">
        <f>IF($A61="","",SUMIFS(LinkedIn_Posts!H:H,LinkedIn_Posts!A:A,$A61,LinkedIn_Posts!B:B,$B61))</f>
        <v/>
      </c>
      <c r="U61" s="7" t="str">
        <f>IF($A61="","",SUMIFS(LinkedIn_Posts!I:I,LinkedIn_Posts!A:A,$A61,LinkedIn_Posts!B:B,$B61))</f>
        <v/>
      </c>
    </row>
    <row r="62">
      <c r="A62" s="7" t="s">
        <v>47</v>
      </c>
      <c r="B62" s="7" t="s">
        <v>47</v>
      </c>
      <c r="C62" s="7" t="s">
        <v>47</v>
      </c>
      <c r="D62" s="7" t="str">
        <f>IF($A62="","",SUMIFS(YouTube_Long!G:G,YouTube_Long!A:A,$A62,YouTube_Long!B:B,$B62))</f>
        <v/>
      </c>
      <c r="E62" s="7" t="str">
        <f>IF($A62="","",SUMIFS(YouTube_Long!H:H,YouTube_Long!A:A,$A62,YouTube_Long!B:B,$B62))</f>
        <v/>
      </c>
      <c r="F62" s="7" t="str">
        <f>IF($A62="","",SUMIFS(YouTube_Long!I:I,YouTube_Long!A:A,$A62,YouTube_Long!B:B,$B62))</f>
        <v/>
      </c>
      <c r="G62" s="7" t="str">
        <f>IF($A62="","",COUNTIFS(YouTube_Shorts!A:A,$A62,YouTube_Shorts!B:B,$B62))</f>
        <v/>
      </c>
      <c r="H62" s="7" t="str">
        <f>IF($A62="","",SUMIFS(YouTube_Shorts!F:F,YouTube_Shorts!A:A,$A62,YouTube_Shorts!B:B,$B62))</f>
        <v/>
      </c>
      <c r="I62" s="7" t="str">
        <f>IF($A62="","",SUMIFS(YouTube_Shorts!G:G,YouTube_Shorts!A:A,$A62,YouTube_Shorts!B:B,$B62))</f>
        <v/>
      </c>
      <c r="J62" s="7" t="str">
        <f t="shared" si="1"/>
        <v/>
      </c>
      <c r="K62" s="7" t="str">
        <f>IF($A62="","",SUMIFS(Audio!D:D,Audio!A:A,$A62,Audio!B:B,$B62))</f>
        <v/>
      </c>
      <c r="L62" s="7" t="str">
        <f>IF($A62="","",COUNTIFS(TikTok_Posts!A:A,$A62,TikTok_Posts!B:B,$B62))</f>
        <v/>
      </c>
      <c r="M62" s="7" t="str">
        <f>IF($A62="","",SUMIFS(TikTok_Posts!E:E,TikTok_Posts!A:A,$A62,TikTok_Posts!B:B,$B62))</f>
        <v/>
      </c>
      <c r="N62" s="7" t="str">
        <f>IF($A62="","",COUNTIFS(Instagram_Posts!A:A,$A62,Instagram_Posts!B:B,$B62))</f>
        <v/>
      </c>
      <c r="O62" s="7" t="str">
        <f>IF($A62="","",SUMIFS(Instagram_Posts!E:E,Instagram_Posts!A:A,$A62,Instagram_Posts!B:B,$B62))</f>
        <v/>
      </c>
      <c r="P62" s="7" t="str">
        <f>IF($A62="","",SUMIFS(Blog!E:E,Blog!B:B,$A62,Blog!C:C,$B62))</f>
        <v/>
      </c>
      <c r="Q62" s="7" t="str">
        <f>IF($A62="","",COUNTIFS(LinkedIn_Posts!A:A,$A62,LinkedIn_Posts!B:B,$B62))</f>
        <v/>
      </c>
      <c r="R62" s="7" t="str">
        <f>IF($A62="","",SUMIFS(LinkedIn_Posts!F:F,LinkedIn_Posts!A:A,$A62,LinkedIn_Posts!B:B,$B62))</f>
        <v/>
      </c>
      <c r="S62" s="7" t="str">
        <f>IF($A62="","",SUMIFS(LinkedIn_Posts!G:G,LinkedIn_Posts!A:A,$A62,LinkedIn_Posts!B:B,$B62))</f>
        <v/>
      </c>
      <c r="T62" s="7" t="str">
        <f>IF($A62="","",SUMIFS(LinkedIn_Posts!H:H,LinkedIn_Posts!A:A,$A62,LinkedIn_Posts!B:B,$B62))</f>
        <v/>
      </c>
      <c r="U62" s="7" t="str">
        <f>IF($A62="","",SUMIFS(LinkedIn_Posts!I:I,LinkedIn_Posts!A:A,$A62,LinkedIn_Posts!B:B,$B62))</f>
        <v/>
      </c>
    </row>
    <row r="63">
      <c r="A63" s="7" t="s">
        <v>47</v>
      </c>
      <c r="B63" s="7" t="s">
        <v>47</v>
      </c>
      <c r="C63" s="7" t="s">
        <v>47</v>
      </c>
      <c r="D63" s="7" t="str">
        <f>IF($A63="","",SUMIFS(YouTube_Long!G:G,YouTube_Long!A:A,$A63,YouTube_Long!B:B,$B63))</f>
        <v/>
      </c>
      <c r="E63" s="7" t="str">
        <f>IF($A63="","",SUMIFS(YouTube_Long!H:H,YouTube_Long!A:A,$A63,YouTube_Long!B:B,$B63))</f>
        <v/>
      </c>
      <c r="F63" s="7" t="str">
        <f>IF($A63="","",SUMIFS(YouTube_Long!I:I,YouTube_Long!A:A,$A63,YouTube_Long!B:B,$B63))</f>
        <v/>
      </c>
      <c r="G63" s="7" t="str">
        <f>IF($A63="","",COUNTIFS(YouTube_Shorts!A:A,$A63,YouTube_Shorts!B:B,$B63))</f>
        <v/>
      </c>
      <c r="H63" s="7" t="str">
        <f>IF($A63="","",SUMIFS(YouTube_Shorts!F:F,YouTube_Shorts!A:A,$A63,YouTube_Shorts!B:B,$B63))</f>
        <v/>
      </c>
      <c r="I63" s="7" t="str">
        <f>IF($A63="","",SUMIFS(YouTube_Shorts!G:G,YouTube_Shorts!A:A,$A63,YouTube_Shorts!B:B,$B63))</f>
        <v/>
      </c>
      <c r="J63" s="7" t="str">
        <f t="shared" si="1"/>
        <v/>
      </c>
      <c r="K63" s="7" t="str">
        <f>IF($A63="","",SUMIFS(Audio!D:D,Audio!A:A,$A63,Audio!B:B,$B63))</f>
        <v/>
      </c>
      <c r="L63" s="7" t="str">
        <f>IF($A63="","",COUNTIFS(TikTok_Posts!A:A,$A63,TikTok_Posts!B:B,$B63))</f>
        <v/>
      </c>
      <c r="M63" s="7" t="str">
        <f>IF($A63="","",SUMIFS(TikTok_Posts!E:E,TikTok_Posts!A:A,$A63,TikTok_Posts!B:B,$B63))</f>
        <v/>
      </c>
      <c r="N63" s="7" t="str">
        <f>IF($A63="","",COUNTIFS(Instagram_Posts!A:A,$A63,Instagram_Posts!B:B,$B63))</f>
        <v/>
      </c>
      <c r="O63" s="7" t="str">
        <f>IF($A63="","",SUMIFS(Instagram_Posts!E:E,Instagram_Posts!A:A,$A63,Instagram_Posts!B:B,$B63))</f>
        <v/>
      </c>
      <c r="P63" s="7" t="str">
        <f>IF($A63="","",SUMIFS(Blog!E:E,Blog!B:B,$A63,Blog!C:C,$B63))</f>
        <v/>
      </c>
      <c r="Q63" s="7" t="str">
        <f>IF($A63="","",COUNTIFS(LinkedIn_Posts!A:A,$A63,LinkedIn_Posts!B:B,$B63))</f>
        <v/>
      </c>
      <c r="R63" s="7" t="str">
        <f>IF($A63="","",SUMIFS(LinkedIn_Posts!F:F,LinkedIn_Posts!A:A,$A63,LinkedIn_Posts!B:B,$B63))</f>
        <v/>
      </c>
      <c r="S63" s="7" t="str">
        <f>IF($A63="","",SUMIFS(LinkedIn_Posts!G:G,LinkedIn_Posts!A:A,$A63,LinkedIn_Posts!B:B,$B63))</f>
        <v/>
      </c>
      <c r="T63" s="7" t="str">
        <f>IF($A63="","",SUMIFS(LinkedIn_Posts!H:H,LinkedIn_Posts!A:A,$A63,LinkedIn_Posts!B:B,$B63))</f>
        <v/>
      </c>
      <c r="U63" s="7" t="str">
        <f>IF($A63="","",SUMIFS(LinkedIn_Posts!I:I,LinkedIn_Posts!A:A,$A63,LinkedIn_Posts!B:B,$B63))</f>
        <v/>
      </c>
    </row>
    <row r="64">
      <c r="A64" s="7" t="s">
        <v>47</v>
      </c>
      <c r="B64" s="7" t="s">
        <v>47</v>
      </c>
      <c r="C64" s="7" t="s">
        <v>47</v>
      </c>
      <c r="D64" s="7" t="str">
        <f>IF($A64="","",SUMIFS(YouTube_Long!G:G,YouTube_Long!A:A,$A64,YouTube_Long!B:B,$B64))</f>
        <v/>
      </c>
      <c r="E64" s="7" t="str">
        <f>IF($A64="","",SUMIFS(YouTube_Long!H:H,YouTube_Long!A:A,$A64,YouTube_Long!B:B,$B64))</f>
        <v/>
      </c>
      <c r="F64" s="7" t="str">
        <f>IF($A64="","",SUMIFS(YouTube_Long!I:I,YouTube_Long!A:A,$A64,YouTube_Long!B:B,$B64))</f>
        <v/>
      </c>
      <c r="G64" s="7" t="str">
        <f>IF($A64="","",COUNTIFS(YouTube_Shorts!A:A,$A64,YouTube_Shorts!B:B,$B64))</f>
        <v/>
      </c>
      <c r="H64" s="7" t="str">
        <f>IF($A64="","",SUMIFS(YouTube_Shorts!F:F,YouTube_Shorts!A:A,$A64,YouTube_Shorts!B:B,$B64))</f>
        <v/>
      </c>
      <c r="I64" s="7" t="str">
        <f>IF($A64="","",SUMIFS(YouTube_Shorts!G:G,YouTube_Shorts!A:A,$A64,YouTube_Shorts!B:B,$B64))</f>
        <v/>
      </c>
      <c r="J64" s="7" t="str">
        <f t="shared" si="1"/>
        <v/>
      </c>
      <c r="K64" s="7" t="str">
        <f>IF($A64="","",SUMIFS(Audio!D:D,Audio!A:A,$A64,Audio!B:B,$B64))</f>
        <v/>
      </c>
      <c r="L64" s="7" t="str">
        <f>IF($A64="","",COUNTIFS(TikTok_Posts!A:A,$A64,TikTok_Posts!B:B,$B64))</f>
        <v/>
      </c>
      <c r="M64" s="7" t="str">
        <f>IF($A64="","",SUMIFS(TikTok_Posts!E:E,TikTok_Posts!A:A,$A64,TikTok_Posts!B:B,$B64))</f>
        <v/>
      </c>
      <c r="N64" s="7" t="str">
        <f>IF($A64="","",COUNTIFS(Instagram_Posts!A:A,$A64,Instagram_Posts!B:B,$B64))</f>
        <v/>
      </c>
      <c r="O64" s="7" t="str">
        <f>IF($A64="","",SUMIFS(Instagram_Posts!E:E,Instagram_Posts!A:A,$A64,Instagram_Posts!B:B,$B64))</f>
        <v/>
      </c>
      <c r="P64" s="7" t="str">
        <f>IF($A64="","",SUMIFS(Blog!E:E,Blog!B:B,$A64,Blog!C:C,$B64))</f>
        <v/>
      </c>
      <c r="Q64" s="7" t="str">
        <f>IF($A64="","",COUNTIFS(LinkedIn_Posts!A:A,$A64,LinkedIn_Posts!B:B,$B64))</f>
        <v/>
      </c>
      <c r="R64" s="7" t="str">
        <f>IF($A64="","",SUMIFS(LinkedIn_Posts!F:F,LinkedIn_Posts!A:A,$A64,LinkedIn_Posts!B:B,$B64))</f>
        <v/>
      </c>
      <c r="S64" s="7" t="str">
        <f>IF($A64="","",SUMIFS(LinkedIn_Posts!G:G,LinkedIn_Posts!A:A,$A64,LinkedIn_Posts!B:B,$B64))</f>
        <v/>
      </c>
      <c r="T64" s="7" t="str">
        <f>IF($A64="","",SUMIFS(LinkedIn_Posts!H:H,LinkedIn_Posts!A:A,$A64,LinkedIn_Posts!B:B,$B64))</f>
        <v/>
      </c>
      <c r="U64" s="7" t="str">
        <f>IF($A64="","",SUMIFS(LinkedIn_Posts!I:I,LinkedIn_Posts!A:A,$A64,LinkedIn_Posts!B:B,$B64))</f>
        <v/>
      </c>
    </row>
    <row r="65">
      <c r="A65" s="7" t="s">
        <v>47</v>
      </c>
      <c r="B65" s="7" t="s">
        <v>47</v>
      </c>
      <c r="C65" s="7" t="s">
        <v>47</v>
      </c>
      <c r="D65" s="7" t="str">
        <f>IF($A65="","",SUMIFS(YouTube_Long!G:G,YouTube_Long!A:A,$A65,YouTube_Long!B:B,$B65))</f>
        <v/>
      </c>
      <c r="E65" s="7" t="str">
        <f>IF($A65="","",SUMIFS(YouTube_Long!H:H,YouTube_Long!A:A,$A65,YouTube_Long!B:B,$B65))</f>
        <v/>
      </c>
      <c r="F65" s="7" t="str">
        <f>IF($A65="","",SUMIFS(YouTube_Long!I:I,YouTube_Long!A:A,$A65,YouTube_Long!B:B,$B65))</f>
        <v/>
      </c>
      <c r="G65" s="7" t="str">
        <f>IF($A65="","",COUNTIFS(YouTube_Shorts!A:A,$A65,YouTube_Shorts!B:B,$B65))</f>
        <v/>
      </c>
      <c r="H65" s="7" t="str">
        <f>IF($A65="","",SUMIFS(YouTube_Shorts!F:F,YouTube_Shorts!A:A,$A65,YouTube_Shorts!B:B,$B65))</f>
        <v/>
      </c>
      <c r="I65" s="7" t="str">
        <f>IF($A65="","",SUMIFS(YouTube_Shorts!G:G,YouTube_Shorts!A:A,$A65,YouTube_Shorts!B:B,$B65))</f>
        <v/>
      </c>
      <c r="J65" s="7" t="str">
        <f t="shared" si="1"/>
        <v/>
      </c>
      <c r="K65" s="7" t="str">
        <f>IF($A65="","",SUMIFS(Audio!D:D,Audio!A:A,$A65,Audio!B:B,$B65))</f>
        <v/>
      </c>
      <c r="L65" s="7" t="str">
        <f>IF($A65="","",COUNTIFS(TikTok_Posts!A:A,$A65,TikTok_Posts!B:B,$B65))</f>
        <v/>
      </c>
      <c r="M65" s="7" t="str">
        <f>IF($A65="","",SUMIFS(TikTok_Posts!E:E,TikTok_Posts!A:A,$A65,TikTok_Posts!B:B,$B65))</f>
        <v/>
      </c>
      <c r="N65" s="7" t="str">
        <f>IF($A65="","",COUNTIFS(Instagram_Posts!A:A,$A65,Instagram_Posts!B:B,$B65))</f>
        <v/>
      </c>
      <c r="O65" s="7" t="str">
        <f>IF($A65="","",SUMIFS(Instagram_Posts!E:E,Instagram_Posts!A:A,$A65,Instagram_Posts!B:B,$B65))</f>
        <v/>
      </c>
      <c r="P65" s="7" t="str">
        <f>IF($A65="","",SUMIFS(Blog!E:E,Blog!B:B,$A65,Blog!C:C,$B65))</f>
        <v/>
      </c>
      <c r="Q65" s="7" t="str">
        <f>IF($A65="","",COUNTIFS(LinkedIn_Posts!A:A,$A65,LinkedIn_Posts!B:B,$B65))</f>
        <v/>
      </c>
      <c r="R65" s="7" t="str">
        <f>IF($A65="","",SUMIFS(LinkedIn_Posts!F:F,LinkedIn_Posts!A:A,$A65,LinkedIn_Posts!B:B,$B65))</f>
        <v/>
      </c>
      <c r="S65" s="7" t="str">
        <f>IF($A65="","",SUMIFS(LinkedIn_Posts!G:G,LinkedIn_Posts!A:A,$A65,LinkedIn_Posts!B:B,$B65))</f>
        <v/>
      </c>
      <c r="T65" s="7" t="str">
        <f>IF($A65="","",SUMIFS(LinkedIn_Posts!H:H,LinkedIn_Posts!A:A,$A65,LinkedIn_Posts!B:B,$B65))</f>
        <v/>
      </c>
      <c r="U65" s="7" t="str">
        <f>IF($A65="","",SUMIFS(LinkedIn_Posts!I:I,LinkedIn_Posts!A:A,$A65,LinkedIn_Posts!B:B,$B65))</f>
        <v/>
      </c>
    </row>
    <row r="66">
      <c r="A66" s="7" t="s">
        <v>47</v>
      </c>
      <c r="B66" s="7" t="s">
        <v>47</v>
      </c>
      <c r="C66" s="7" t="s">
        <v>47</v>
      </c>
      <c r="D66" s="7" t="str">
        <f>IF($A66="","",SUMIFS(YouTube_Long!G:G,YouTube_Long!A:A,$A66,YouTube_Long!B:B,$B66))</f>
        <v/>
      </c>
      <c r="E66" s="7" t="str">
        <f>IF($A66="","",SUMIFS(YouTube_Long!H:H,YouTube_Long!A:A,$A66,YouTube_Long!B:B,$B66))</f>
        <v/>
      </c>
      <c r="F66" s="7" t="str">
        <f>IF($A66="","",SUMIFS(YouTube_Long!I:I,YouTube_Long!A:A,$A66,YouTube_Long!B:B,$B66))</f>
        <v/>
      </c>
      <c r="G66" s="7" t="str">
        <f>IF($A66="","",COUNTIFS(YouTube_Shorts!A:A,$A66,YouTube_Shorts!B:B,$B66))</f>
        <v/>
      </c>
      <c r="H66" s="7" t="str">
        <f>IF($A66="","",SUMIFS(YouTube_Shorts!F:F,YouTube_Shorts!A:A,$A66,YouTube_Shorts!B:B,$B66))</f>
        <v/>
      </c>
      <c r="I66" s="7" t="str">
        <f>IF($A66="","",SUMIFS(YouTube_Shorts!G:G,YouTube_Shorts!A:A,$A66,YouTube_Shorts!B:B,$B66))</f>
        <v/>
      </c>
      <c r="J66" s="7" t="str">
        <f t="shared" si="1"/>
        <v/>
      </c>
      <c r="K66" s="7" t="str">
        <f>IF($A66="","",SUMIFS(Audio!D:D,Audio!A:A,$A66,Audio!B:B,$B66))</f>
        <v/>
      </c>
      <c r="L66" s="7" t="str">
        <f>IF($A66="","",COUNTIFS(TikTok_Posts!A:A,$A66,TikTok_Posts!B:B,$B66))</f>
        <v/>
      </c>
      <c r="M66" s="7" t="str">
        <f>IF($A66="","",SUMIFS(TikTok_Posts!E:E,TikTok_Posts!A:A,$A66,TikTok_Posts!B:B,$B66))</f>
        <v/>
      </c>
      <c r="N66" s="7" t="str">
        <f>IF($A66="","",COUNTIFS(Instagram_Posts!A:A,$A66,Instagram_Posts!B:B,$B66))</f>
        <v/>
      </c>
      <c r="O66" s="7" t="str">
        <f>IF($A66="","",SUMIFS(Instagram_Posts!E:E,Instagram_Posts!A:A,$A66,Instagram_Posts!B:B,$B66))</f>
        <v/>
      </c>
      <c r="P66" s="7" t="str">
        <f>IF($A66="","",SUMIFS(Blog!E:E,Blog!B:B,$A66,Blog!C:C,$B66))</f>
        <v/>
      </c>
      <c r="Q66" s="7" t="str">
        <f>IF($A66="","",COUNTIFS(LinkedIn_Posts!A:A,$A66,LinkedIn_Posts!B:B,$B66))</f>
        <v/>
      </c>
      <c r="R66" s="7" t="str">
        <f>IF($A66="","",SUMIFS(LinkedIn_Posts!F:F,LinkedIn_Posts!A:A,$A66,LinkedIn_Posts!B:B,$B66))</f>
        <v/>
      </c>
      <c r="S66" s="7" t="str">
        <f>IF($A66="","",SUMIFS(LinkedIn_Posts!G:G,LinkedIn_Posts!A:A,$A66,LinkedIn_Posts!B:B,$B66))</f>
        <v/>
      </c>
      <c r="T66" s="7" t="str">
        <f>IF($A66="","",SUMIFS(LinkedIn_Posts!H:H,LinkedIn_Posts!A:A,$A66,LinkedIn_Posts!B:B,$B66))</f>
        <v/>
      </c>
      <c r="U66" s="7" t="str">
        <f>IF($A66="","",SUMIFS(LinkedIn_Posts!I:I,LinkedIn_Posts!A:A,$A66,LinkedIn_Posts!B:B,$B66))</f>
        <v/>
      </c>
    </row>
    <row r="67">
      <c r="A67" s="7" t="s">
        <v>47</v>
      </c>
      <c r="B67" s="7" t="s">
        <v>47</v>
      </c>
      <c r="C67" s="7" t="s">
        <v>47</v>
      </c>
      <c r="D67" s="7" t="str">
        <f>IF($A67="","",SUMIFS(YouTube_Long!G:G,YouTube_Long!A:A,$A67,YouTube_Long!B:B,$B67))</f>
        <v/>
      </c>
      <c r="E67" s="7" t="str">
        <f>IF($A67="","",SUMIFS(YouTube_Long!H:H,YouTube_Long!A:A,$A67,YouTube_Long!B:B,$B67))</f>
        <v/>
      </c>
      <c r="F67" s="7" t="str">
        <f>IF($A67="","",SUMIFS(YouTube_Long!I:I,YouTube_Long!A:A,$A67,YouTube_Long!B:B,$B67))</f>
        <v/>
      </c>
      <c r="G67" s="7" t="str">
        <f>IF($A67="","",COUNTIFS(YouTube_Shorts!A:A,$A67,YouTube_Shorts!B:B,$B67))</f>
        <v/>
      </c>
      <c r="H67" s="7" t="str">
        <f>IF($A67="","",SUMIFS(YouTube_Shorts!F:F,YouTube_Shorts!A:A,$A67,YouTube_Shorts!B:B,$B67))</f>
        <v/>
      </c>
      <c r="I67" s="7" t="str">
        <f>IF($A67="","",SUMIFS(YouTube_Shorts!G:G,YouTube_Shorts!A:A,$A67,YouTube_Shorts!B:B,$B67))</f>
        <v/>
      </c>
      <c r="J67" s="7" t="str">
        <f t="shared" si="1"/>
        <v/>
      </c>
      <c r="K67" s="7" t="str">
        <f>IF($A67="","",SUMIFS(Audio!D:D,Audio!A:A,$A67,Audio!B:B,$B67))</f>
        <v/>
      </c>
      <c r="L67" s="7" t="str">
        <f>IF($A67="","",COUNTIFS(TikTok_Posts!A:A,$A67,TikTok_Posts!B:B,$B67))</f>
        <v/>
      </c>
      <c r="M67" s="7" t="str">
        <f>IF($A67="","",SUMIFS(TikTok_Posts!E:E,TikTok_Posts!A:A,$A67,TikTok_Posts!B:B,$B67))</f>
        <v/>
      </c>
      <c r="N67" s="7" t="str">
        <f>IF($A67="","",COUNTIFS(Instagram_Posts!A:A,$A67,Instagram_Posts!B:B,$B67))</f>
        <v/>
      </c>
      <c r="O67" s="7" t="str">
        <f>IF($A67="","",SUMIFS(Instagram_Posts!E:E,Instagram_Posts!A:A,$A67,Instagram_Posts!B:B,$B67))</f>
        <v/>
      </c>
      <c r="P67" s="7" t="str">
        <f>IF($A67="","",SUMIFS(Blog!E:E,Blog!B:B,$A67,Blog!C:C,$B67))</f>
        <v/>
      </c>
      <c r="Q67" s="7" t="str">
        <f>IF($A67="","",COUNTIFS(LinkedIn_Posts!A:A,$A67,LinkedIn_Posts!B:B,$B67))</f>
        <v/>
      </c>
      <c r="R67" s="7" t="str">
        <f>IF($A67="","",SUMIFS(LinkedIn_Posts!F:F,LinkedIn_Posts!A:A,$A67,LinkedIn_Posts!B:B,$B67))</f>
        <v/>
      </c>
      <c r="S67" s="7" t="str">
        <f>IF($A67="","",SUMIFS(LinkedIn_Posts!G:G,LinkedIn_Posts!A:A,$A67,LinkedIn_Posts!B:B,$B67))</f>
        <v/>
      </c>
      <c r="T67" s="7" t="str">
        <f>IF($A67="","",SUMIFS(LinkedIn_Posts!H:H,LinkedIn_Posts!A:A,$A67,LinkedIn_Posts!B:B,$B67))</f>
        <v/>
      </c>
      <c r="U67" s="7" t="str">
        <f>IF($A67="","",SUMIFS(LinkedIn_Posts!I:I,LinkedIn_Posts!A:A,$A67,LinkedIn_Posts!B:B,$B67))</f>
        <v/>
      </c>
    </row>
    <row r="68">
      <c r="A68" s="7" t="s">
        <v>47</v>
      </c>
      <c r="B68" s="7" t="s">
        <v>47</v>
      </c>
      <c r="C68" s="7" t="s">
        <v>47</v>
      </c>
      <c r="D68" s="7" t="str">
        <f>IF($A68="","",SUMIFS(YouTube_Long!G:G,YouTube_Long!A:A,$A68,YouTube_Long!B:B,$B68))</f>
        <v/>
      </c>
      <c r="E68" s="7" t="str">
        <f>IF($A68="","",SUMIFS(YouTube_Long!H:H,YouTube_Long!A:A,$A68,YouTube_Long!B:B,$B68))</f>
        <v/>
      </c>
      <c r="F68" s="7" t="str">
        <f>IF($A68="","",SUMIFS(YouTube_Long!I:I,YouTube_Long!A:A,$A68,YouTube_Long!B:B,$B68))</f>
        <v/>
      </c>
      <c r="G68" s="7" t="str">
        <f>IF($A68="","",COUNTIFS(YouTube_Shorts!A:A,$A68,YouTube_Shorts!B:B,$B68))</f>
        <v/>
      </c>
      <c r="H68" s="7" t="str">
        <f>IF($A68="","",SUMIFS(YouTube_Shorts!F:F,YouTube_Shorts!A:A,$A68,YouTube_Shorts!B:B,$B68))</f>
        <v/>
      </c>
      <c r="I68" s="7" t="str">
        <f>IF($A68="","",SUMIFS(YouTube_Shorts!G:G,YouTube_Shorts!A:A,$A68,YouTube_Shorts!B:B,$B68))</f>
        <v/>
      </c>
      <c r="J68" s="7" t="str">
        <f t="shared" si="1"/>
        <v/>
      </c>
      <c r="K68" s="7" t="str">
        <f>IF($A68="","",SUMIFS(Audio!D:D,Audio!A:A,$A68,Audio!B:B,$B68))</f>
        <v/>
      </c>
      <c r="L68" s="7" t="str">
        <f>IF($A68="","",COUNTIFS(TikTok_Posts!A:A,$A68,TikTok_Posts!B:B,$B68))</f>
        <v/>
      </c>
      <c r="M68" s="7" t="str">
        <f>IF($A68="","",SUMIFS(TikTok_Posts!E:E,TikTok_Posts!A:A,$A68,TikTok_Posts!B:B,$B68))</f>
        <v/>
      </c>
      <c r="N68" s="7" t="str">
        <f>IF($A68="","",COUNTIFS(Instagram_Posts!A:A,$A68,Instagram_Posts!B:B,$B68))</f>
        <v/>
      </c>
      <c r="O68" s="7" t="str">
        <f>IF($A68="","",SUMIFS(Instagram_Posts!E:E,Instagram_Posts!A:A,$A68,Instagram_Posts!B:B,$B68))</f>
        <v/>
      </c>
      <c r="P68" s="7" t="str">
        <f>IF($A68="","",SUMIFS(Blog!E:E,Blog!B:B,$A68,Blog!C:C,$B68))</f>
        <v/>
      </c>
      <c r="Q68" s="7" t="str">
        <f>IF($A68="","",COUNTIFS(LinkedIn_Posts!A:A,$A68,LinkedIn_Posts!B:B,$B68))</f>
        <v/>
      </c>
      <c r="R68" s="7" t="str">
        <f>IF($A68="","",SUMIFS(LinkedIn_Posts!F:F,LinkedIn_Posts!A:A,$A68,LinkedIn_Posts!B:B,$B68))</f>
        <v/>
      </c>
      <c r="S68" s="7" t="str">
        <f>IF($A68="","",SUMIFS(LinkedIn_Posts!G:G,LinkedIn_Posts!A:A,$A68,LinkedIn_Posts!B:B,$B68))</f>
        <v/>
      </c>
      <c r="T68" s="7" t="str">
        <f>IF($A68="","",SUMIFS(LinkedIn_Posts!H:H,LinkedIn_Posts!A:A,$A68,LinkedIn_Posts!B:B,$B68))</f>
        <v/>
      </c>
      <c r="U68" s="7" t="str">
        <f>IF($A68="","",SUMIFS(LinkedIn_Posts!I:I,LinkedIn_Posts!A:A,$A68,LinkedIn_Posts!B:B,$B68))</f>
        <v/>
      </c>
    </row>
    <row r="69">
      <c r="A69" s="7" t="s">
        <v>47</v>
      </c>
      <c r="B69" s="7" t="s">
        <v>47</v>
      </c>
      <c r="C69" s="7" t="s">
        <v>47</v>
      </c>
      <c r="D69" s="7" t="str">
        <f>IF($A69="","",SUMIFS(YouTube_Long!G:G,YouTube_Long!A:A,$A69,YouTube_Long!B:B,$B69))</f>
        <v/>
      </c>
      <c r="E69" s="7" t="str">
        <f>IF($A69="","",SUMIFS(YouTube_Long!H:H,YouTube_Long!A:A,$A69,YouTube_Long!B:B,$B69))</f>
        <v/>
      </c>
      <c r="F69" s="7" t="str">
        <f>IF($A69="","",SUMIFS(YouTube_Long!I:I,YouTube_Long!A:A,$A69,YouTube_Long!B:B,$B69))</f>
        <v/>
      </c>
      <c r="G69" s="7" t="str">
        <f>IF($A69="","",COUNTIFS(YouTube_Shorts!A:A,$A69,YouTube_Shorts!B:B,$B69))</f>
        <v/>
      </c>
      <c r="H69" s="7" t="str">
        <f>IF($A69="","",SUMIFS(YouTube_Shorts!F:F,YouTube_Shorts!A:A,$A69,YouTube_Shorts!B:B,$B69))</f>
        <v/>
      </c>
      <c r="I69" s="7" t="str">
        <f>IF($A69="","",SUMIFS(YouTube_Shorts!G:G,YouTube_Shorts!A:A,$A69,YouTube_Shorts!B:B,$B69))</f>
        <v/>
      </c>
      <c r="J69" s="7" t="str">
        <f t="shared" si="1"/>
        <v/>
      </c>
      <c r="K69" s="7" t="str">
        <f>IF($A69="","",SUMIFS(Audio!D:D,Audio!A:A,$A69,Audio!B:B,$B69))</f>
        <v/>
      </c>
      <c r="L69" s="7" t="str">
        <f>IF($A69="","",COUNTIFS(TikTok_Posts!A:A,$A69,TikTok_Posts!B:B,$B69))</f>
        <v/>
      </c>
      <c r="M69" s="7" t="str">
        <f>IF($A69="","",SUMIFS(TikTok_Posts!E:E,TikTok_Posts!A:A,$A69,TikTok_Posts!B:B,$B69))</f>
        <v/>
      </c>
      <c r="N69" s="7" t="str">
        <f>IF($A69="","",COUNTIFS(Instagram_Posts!A:A,$A69,Instagram_Posts!B:B,$B69))</f>
        <v/>
      </c>
      <c r="O69" s="7" t="str">
        <f>IF($A69="","",SUMIFS(Instagram_Posts!E:E,Instagram_Posts!A:A,$A69,Instagram_Posts!B:B,$B69))</f>
        <v/>
      </c>
      <c r="P69" s="7" t="str">
        <f>IF($A69="","",SUMIFS(Blog!E:E,Blog!B:B,$A69,Blog!C:C,$B69))</f>
        <v/>
      </c>
      <c r="Q69" s="7" t="str">
        <f>IF($A69="","",COUNTIFS(LinkedIn_Posts!A:A,$A69,LinkedIn_Posts!B:B,$B69))</f>
        <v/>
      </c>
      <c r="R69" s="7" t="str">
        <f>IF($A69="","",SUMIFS(LinkedIn_Posts!F:F,LinkedIn_Posts!A:A,$A69,LinkedIn_Posts!B:B,$B69))</f>
        <v/>
      </c>
      <c r="S69" s="7" t="str">
        <f>IF($A69="","",SUMIFS(LinkedIn_Posts!G:G,LinkedIn_Posts!A:A,$A69,LinkedIn_Posts!B:B,$B69))</f>
        <v/>
      </c>
      <c r="T69" s="7" t="str">
        <f>IF($A69="","",SUMIFS(LinkedIn_Posts!H:H,LinkedIn_Posts!A:A,$A69,LinkedIn_Posts!B:B,$B69))</f>
        <v/>
      </c>
      <c r="U69" s="7" t="str">
        <f>IF($A69="","",SUMIFS(LinkedIn_Posts!I:I,LinkedIn_Posts!A:A,$A69,LinkedIn_Posts!B:B,$B69))</f>
        <v/>
      </c>
    </row>
    <row r="70">
      <c r="A70" s="7" t="s">
        <v>47</v>
      </c>
      <c r="B70" s="7" t="s">
        <v>47</v>
      </c>
      <c r="C70" s="7" t="s">
        <v>47</v>
      </c>
      <c r="D70" s="7" t="str">
        <f>IF($A70="","",SUMIFS(YouTube_Long!G:G,YouTube_Long!A:A,$A70,YouTube_Long!B:B,$B70))</f>
        <v/>
      </c>
      <c r="E70" s="7" t="str">
        <f>IF($A70="","",SUMIFS(YouTube_Long!H:H,YouTube_Long!A:A,$A70,YouTube_Long!B:B,$B70))</f>
        <v/>
      </c>
      <c r="F70" s="7" t="str">
        <f>IF($A70="","",SUMIFS(YouTube_Long!I:I,YouTube_Long!A:A,$A70,YouTube_Long!B:B,$B70))</f>
        <v/>
      </c>
      <c r="G70" s="7" t="str">
        <f>IF($A70="","",COUNTIFS(YouTube_Shorts!A:A,$A70,YouTube_Shorts!B:B,$B70))</f>
        <v/>
      </c>
      <c r="H70" s="7" t="str">
        <f>IF($A70="","",SUMIFS(YouTube_Shorts!F:F,YouTube_Shorts!A:A,$A70,YouTube_Shorts!B:B,$B70))</f>
        <v/>
      </c>
      <c r="I70" s="7" t="str">
        <f>IF($A70="","",SUMIFS(YouTube_Shorts!G:G,YouTube_Shorts!A:A,$A70,YouTube_Shorts!B:B,$B70))</f>
        <v/>
      </c>
      <c r="J70" s="7" t="str">
        <f t="shared" si="1"/>
        <v/>
      </c>
      <c r="K70" s="7" t="str">
        <f>IF($A70="","",SUMIFS(Audio!D:D,Audio!A:A,$A70,Audio!B:B,$B70))</f>
        <v/>
      </c>
      <c r="L70" s="7" t="str">
        <f>IF($A70="","",COUNTIFS(TikTok_Posts!A:A,$A70,TikTok_Posts!B:B,$B70))</f>
        <v/>
      </c>
      <c r="M70" s="7" t="str">
        <f>IF($A70="","",SUMIFS(TikTok_Posts!E:E,TikTok_Posts!A:A,$A70,TikTok_Posts!B:B,$B70))</f>
        <v/>
      </c>
      <c r="N70" s="7" t="str">
        <f>IF($A70="","",COUNTIFS(Instagram_Posts!A:A,$A70,Instagram_Posts!B:B,$B70))</f>
        <v/>
      </c>
      <c r="O70" s="7" t="str">
        <f>IF($A70="","",SUMIFS(Instagram_Posts!E:E,Instagram_Posts!A:A,$A70,Instagram_Posts!B:B,$B70))</f>
        <v/>
      </c>
      <c r="P70" s="7" t="str">
        <f>IF($A70="","",SUMIFS(Blog!E:E,Blog!B:B,$A70,Blog!C:C,$B70))</f>
        <v/>
      </c>
      <c r="Q70" s="7" t="str">
        <f>IF($A70="","",COUNTIFS(LinkedIn_Posts!A:A,$A70,LinkedIn_Posts!B:B,$B70))</f>
        <v/>
      </c>
      <c r="R70" s="7" t="str">
        <f>IF($A70="","",SUMIFS(LinkedIn_Posts!F:F,LinkedIn_Posts!A:A,$A70,LinkedIn_Posts!B:B,$B70))</f>
        <v/>
      </c>
      <c r="S70" s="7" t="str">
        <f>IF($A70="","",SUMIFS(LinkedIn_Posts!G:G,LinkedIn_Posts!A:A,$A70,LinkedIn_Posts!B:B,$B70))</f>
        <v/>
      </c>
      <c r="T70" s="7" t="str">
        <f>IF($A70="","",SUMIFS(LinkedIn_Posts!H:H,LinkedIn_Posts!A:A,$A70,LinkedIn_Posts!B:B,$B70))</f>
        <v/>
      </c>
      <c r="U70" s="7" t="str">
        <f>IF($A70="","",SUMIFS(LinkedIn_Posts!I:I,LinkedIn_Posts!A:A,$A70,LinkedIn_Posts!B:B,$B70))</f>
        <v/>
      </c>
    </row>
    <row r="71">
      <c r="A71" s="7" t="s">
        <v>47</v>
      </c>
      <c r="B71" s="7" t="s">
        <v>47</v>
      </c>
      <c r="C71" s="7" t="s">
        <v>47</v>
      </c>
      <c r="D71" s="7" t="str">
        <f>IF($A71="","",SUMIFS(YouTube_Long!G:G,YouTube_Long!A:A,$A71,YouTube_Long!B:B,$B71))</f>
        <v/>
      </c>
      <c r="E71" s="7" t="str">
        <f>IF($A71="","",SUMIFS(YouTube_Long!H:H,YouTube_Long!A:A,$A71,YouTube_Long!B:B,$B71))</f>
        <v/>
      </c>
      <c r="F71" s="7" t="str">
        <f>IF($A71="","",SUMIFS(YouTube_Long!I:I,YouTube_Long!A:A,$A71,YouTube_Long!B:B,$B71))</f>
        <v/>
      </c>
      <c r="G71" s="7" t="str">
        <f>IF($A71="","",COUNTIFS(YouTube_Shorts!A:A,$A71,YouTube_Shorts!B:B,$B71))</f>
        <v/>
      </c>
      <c r="H71" s="7" t="str">
        <f>IF($A71="","",SUMIFS(YouTube_Shorts!F:F,YouTube_Shorts!A:A,$A71,YouTube_Shorts!B:B,$B71))</f>
        <v/>
      </c>
      <c r="I71" s="7" t="str">
        <f>IF($A71="","",SUMIFS(YouTube_Shorts!G:G,YouTube_Shorts!A:A,$A71,YouTube_Shorts!B:B,$B71))</f>
        <v/>
      </c>
      <c r="J71" s="7" t="str">
        <f t="shared" si="1"/>
        <v/>
      </c>
      <c r="K71" s="7" t="str">
        <f>IF($A71="","",SUMIFS(Audio!D:D,Audio!A:A,$A71,Audio!B:B,$B71))</f>
        <v/>
      </c>
      <c r="L71" s="7" t="str">
        <f>IF($A71="","",COUNTIFS(TikTok_Posts!A:A,$A71,TikTok_Posts!B:B,$B71))</f>
        <v/>
      </c>
      <c r="M71" s="7" t="str">
        <f>IF($A71="","",SUMIFS(TikTok_Posts!E:E,TikTok_Posts!A:A,$A71,TikTok_Posts!B:B,$B71))</f>
        <v/>
      </c>
      <c r="N71" s="7" t="str">
        <f>IF($A71="","",COUNTIFS(Instagram_Posts!A:A,$A71,Instagram_Posts!B:B,$B71))</f>
        <v/>
      </c>
      <c r="O71" s="7" t="str">
        <f>IF($A71="","",SUMIFS(Instagram_Posts!E:E,Instagram_Posts!A:A,$A71,Instagram_Posts!B:B,$B71))</f>
        <v/>
      </c>
      <c r="P71" s="7" t="str">
        <f>IF($A71="","",SUMIFS(Blog!E:E,Blog!B:B,$A71,Blog!C:C,$B71))</f>
        <v/>
      </c>
      <c r="Q71" s="7" t="str">
        <f>IF($A71="","",COUNTIFS(LinkedIn_Posts!A:A,$A71,LinkedIn_Posts!B:B,$B71))</f>
        <v/>
      </c>
      <c r="R71" s="7" t="str">
        <f>IF($A71="","",SUMIFS(LinkedIn_Posts!F:F,LinkedIn_Posts!A:A,$A71,LinkedIn_Posts!B:B,$B71))</f>
        <v/>
      </c>
      <c r="S71" s="7" t="str">
        <f>IF($A71="","",SUMIFS(LinkedIn_Posts!G:G,LinkedIn_Posts!A:A,$A71,LinkedIn_Posts!B:B,$B71))</f>
        <v/>
      </c>
      <c r="T71" s="7" t="str">
        <f>IF($A71="","",SUMIFS(LinkedIn_Posts!H:H,LinkedIn_Posts!A:A,$A71,LinkedIn_Posts!B:B,$B71))</f>
        <v/>
      </c>
      <c r="U71" s="7" t="str">
        <f>IF($A71="","",SUMIFS(LinkedIn_Posts!I:I,LinkedIn_Posts!A:A,$A71,LinkedIn_Posts!B:B,$B71))</f>
        <v/>
      </c>
    </row>
    <row r="72">
      <c r="A72" s="7" t="s">
        <v>47</v>
      </c>
      <c r="B72" s="7" t="s">
        <v>47</v>
      </c>
      <c r="C72" s="7" t="s">
        <v>47</v>
      </c>
      <c r="D72" s="7" t="str">
        <f>IF($A72="","",SUMIFS(YouTube_Long!G:G,YouTube_Long!A:A,$A72,YouTube_Long!B:B,$B72))</f>
        <v/>
      </c>
      <c r="E72" s="7" t="str">
        <f>IF($A72="","",SUMIFS(YouTube_Long!H:H,YouTube_Long!A:A,$A72,YouTube_Long!B:B,$B72))</f>
        <v/>
      </c>
      <c r="F72" s="7" t="str">
        <f>IF($A72="","",SUMIFS(YouTube_Long!I:I,YouTube_Long!A:A,$A72,YouTube_Long!B:B,$B72))</f>
        <v/>
      </c>
      <c r="G72" s="7" t="str">
        <f>IF($A72="","",COUNTIFS(YouTube_Shorts!A:A,$A72,YouTube_Shorts!B:B,$B72))</f>
        <v/>
      </c>
      <c r="H72" s="7" t="str">
        <f>IF($A72="","",SUMIFS(YouTube_Shorts!F:F,YouTube_Shorts!A:A,$A72,YouTube_Shorts!B:B,$B72))</f>
        <v/>
      </c>
      <c r="I72" s="7" t="str">
        <f>IF($A72="","",SUMIFS(YouTube_Shorts!G:G,YouTube_Shorts!A:A,$A72,YouTube_Shorts!B:B,$B72))</f>
        <v/>
      </c>
      <c r="J72" s="7" t="str">
        <f t="shared" si="1"/>
        <v/>
      </c>
      <c r="K72" s="7" t="str">
        <f>IF($A72="","",SUMIFS(Audio!D:D,Audio!A:A,$A72,Audio!B:B,$B72))</f>
        <v/>
      </c>
      <c r="L72" s="7" t="str">
        <f>IF($A72="","",COUNTIFS(TikTok_Posts!A:A,$A72,TikTok_Posts!B:B,$B72))</f>
        <v/>
      </c>
      <c r="M72" s="7" t="str">
        <f>IF($A72="","",SUMIFS(TikTok_Posts!E:E,TikTok_Posts!A:A,$A72,TikTok_Posts!B:B,$B72))</f>
        <v/>
      </c>
      <c r="N72" s="7" t="str">
        <f>IF($A72="","",COUNTIFS(Instagram_Posts!A:A,$A72,Instagram_Posts!B:B,$B72))</f>
        <v/>
      </c>
      <c r="O72" s="7" t="str">
        <f>IF($A72="","",SUMIFS(Instagram_Posts!E:E,Instagram_Posts!A:A,$A72,Instagram_Posts!B:B,$B72))</f>
        <v/>
      </c>
      <c r="P72" s="7" t="str">
        <f>IF($A72="","",SUMIFS(Blog!E:E,Blog!B:B,$A72,Blog!C:C,$B72))</f>
        <v/>
      </c>
      <c r="Q72" s="7" t="str">
        <f>IF($A72="","",COUNTIFS(LinkedIn_Posts!A:A,$A72,LinkedIn_Posts!B:B,$B72))</f>
        <v/>
      </c>
      <c r="R72" s="7" t="str">
        <f>IF($A72="","",SUMIFS(LinkedIn_Posts!F:F,LinkedIn_Posts!A:A,$A72,LinkedIn_Posts!B:B,$B72))</f>
        <v/>
      </c>
      <c r="S72" s="7" t="str">
        <f>IF($A72="","",SUMIFS(LinkedIn_Posts!G:G,LinkedIn_Posts!A:A,$A72,LinkedIn_Posts!B:B,$B72))</f>
        <v/>
      </c>
      <c r="T72" s="7" t="str">
        <f>IF($A72="","",SUMIFS(LinkedIn_Posts!H:H,LinkedIn_Posts!A:A,$A72,LinkedIn_Posts!B:B,$B72))</f>
        <v/>
      </c>
      <c r="U72" s="7" t="str">
        <f>IF($A72="","",SUMIFS(LinkedIn_Posts!I:I,LinkedIn_Posts!A:A,$A72,LinkedIn_Posts!B:B,$B72))</f>
        <v/>
      </c>
    </row>
    <row r="73">
      <c r="A73" s="7" t="s">
        <v>47</v>
      </c>
      <c r="B73" s="7" t="s">
        <v>47</v>
      </c>
      <c r="C73" s="7" t="s">
        <v>47</v>
      </c>
      <c r="D73" s="7" t="str">
        <f>IF($A73="","",SUMIFS(YouTube_Long!G:G,YouTube_Long!A:A,$A73,YouTube_Long!B:B,$B73))</f>
        <v/>
      </c>
      <c r="E73" s="7" t="str">
        <f>IF($A73="","",SUMIFS(YouTube_Long!H:H,YouTube_Long!A:A,$A73,YouTube_Long!B:B,$B73))</f>
        <v/>
      </c>
      <c r="F73" s="7" t="str">
        <f>IF($A73="","",SUMIFS(YouTube_Long!I:I,YouTube_Long!A:A,$A73,YouTube_Long!B:B,$B73))</f>
        <v/>
      </c>
      <c r="G73" s="7" t="str">
        <f>IF($A73="","",COUNTIFS(YouTube_Shorts!A:A,$A73,YouTube_Shorts!B:B,$B73))</f>
        <v/>
      </c>
      <c r="H73" s="7" t="str">
        <f>IF($A73="","",SUMIFS(YouTube_Shorts!F:F,YouTube_Shorts!A:A,$A73,YouTube_Shorts!B:B,$B73))</f>
        <v/>
      </c>
      <c r="I73" s="7" t="str">
        <f>IF($A73="","",SUMIFS(YouTube_Shorts!G:G,YouTube_Shorts!A:A,$A73,YouTube_Shorts!B:B,$B73))</f>
        <v/>
      </c>
      <c r="J73" s="7" t="str">
        <f t="shared" si="1"/>
        <v/>
      </c>
      <c r="K73" s="7" t="str">
        <f>IF($A73="","",SUMIFS(Audio!D:D,Audio!A:A,$A73,Audio!B:B,$B73))</f>
        <v/>
      </c>
      <c r="L73" s="7" t="str">
        <f>IF($A73="","",COUNTIFS(TikTok_Posts!A:A,$A73,TikTok_Posts!B:B,$B73))</f>
        <v/>
      </c>
      <c r="M73" s="7" t="str">
        <f>IF($A73="","",SUMIFS(TikTok_Posts!E:E,TikTok_Posts!A:A,$A73,TikTok_Posts!B:B,$B73))</f>
        <v/>
      </c>
      <c r="N73" s="7" t="str">
        <f>IF($A73="","",COUNTIFS(Instagram_Posts!A:A,$A73,Instagram_Posts!B:B,$B73))</f>
        <v/>
      </c>
      <c r="O73" s="7" t="str">
        <f>IF($A73="","",SUMIFS(Instagram_Posts!E:E,Instagram_Posts!A:A,$A73,Instagram_Posts!B:B,$B73))</f>
        <v/>
      </c>
      <c r="P73" s="7" t="str">
        <f>IF($A73="","",SUMIFS(Blog!E:E,Blog!B:B,$A73,Blog!C:C,$B73))</f>
        <v/>
      </c>
      <c r="Q73" s="7" t="str">
        <f>IF($A73="","",COUNTIFS(LinkedIn_Posts!A:A,$A73,LinkedIn_Posts!B:B,$B73))</f>
        <v/>
      </c>
      <c r="R73" s="7" t="str">
        <f>IF($A73="","",SUMIFS(LinkedIn_Posts!F:F,LinkedIn_Posts!A:A,$A73,LinkedIn_Posts!B:B,$B73))</f>
        <v/>
      </c>
      <c r="S73" s="7" t="str">
        <f>IF($A73="","",SUMIFS(LinkedIn_Posts!G:G,LinkedIn_Posts!A:A,$A73,LinkedIn_Posts!B:B,$B73))</f>
        <v/>
      </c>
      <c r="T73" s="7" t="str">
        <f>IF($A73="","",SUMIFS(LinkedIn_Posts!H:H,LinkedIn_Posts!A:A,$A73,LinkedIn_Posts!B:B,$B73))</f>
        <v/>
      </c>
      <c r="U73" s="7" t="str">
        <f>IF($A73="","",SUMIFS(LinkedIn_Posts!I:I,LinkedIn_Posts!A:A,$A73,LinkedIn_Posts!B:B,$B73))</f>
        <v/>
      </c>
    </row>
    <row r="74">
      <c r="A74" s="7" t="s">
        <v>47</v>
      </c>
      <c r="B74" s="7" t="s">
        <v>47</v>
      </c>
      <c r="C74" s="7" t="s">
        <v>47</v>
      </c>
      <c r="D74" s="7" t="str">
        <f>IF($A74="","",SUMIFS(YouTube_Long!G:G,YouTube_Long!A:A,$A74,YouTube_Long!B:B,$B74))</f>
        <v/>
      </c>
      <c r="E74" s="7" t="str">
        <f>IF($A74="","",SUMIFS(YouTube_Long!H:H,YouTube_Long!A:A,$A74,YouTube_Long!B:B,$B74))</f>
        <v/>
      </c>
      <c r="F74" s="7" t="str">
        <f>IF($A74="","",SUMIFS(YouTube_Long!I:I,YouTube_Long!A:A,$A74,YouTube_Long!B:B,$B74))</f>
        <v/>
      </c>
      <c r="G74" s="7" t="str">
        <f>IF($A74="","",COUNTIFS(YouTube_Shorts!A:A,$A74,YouTube_Shorts!B:B,$B74))</f>
        <v/>
      </c>
      <c r="H74" s="7" t="str">
        <f>IF($A74="","",SUMIFS(YouTube_Shorts!F:F,YouTube_Shorts!A:A,$A74,YouTube_Shorts!B:B,$B74))</f>
        <v/>
      </c>
      <c r="I74" s="7" t="str">
        <f>IF($A74="","",SUMIFS(YouTube_Shorts!G:G,YouTube_Shorts!A:A,$A74,YouTube_Shorts!B:B,$B74))</f>
        <v/>
      </c>
      <c r="J74" s="7" t="str">
        <f t="shared" si="1"/>
        <v/>
      </c>
      <c r="K74" s="7" t="str">
        <f>IF($A74="","",SUMIFS(Audio!D:D,Audio!A:A,$A74,Audio!B:B,$B74))</f>
        <v/>
      </c>
      <c r="L74" s="7" t="str">
        <f>IF($A74="","",COUNTIFS(TikTok_Posts!A:A,$A74,TikTok_Posts!B:B,$B74))</f>
        <v/>
      </c>
      <c r="M74" s="7" t="str">
        <f>IF($A74="","",SUMIFS(TikTok_Posts!E:E,TikTok_Posts!A:A,$A74,TikTok_Posts!B:B,$B74))</f>
        <v/>
      </c>
      <c r="N74" s="7" t="str">
        <f>IF($A74="","",COUNTIFS(Instagram_Posts!A:A,$A74,Instagram_Posts!B:B,$B74))</f>
        <v/>
      </c>
      <c r="O74" s="7" t="str">
        <f>IF($A74="","",SUMIFS(Instagram_Posts!E:E,Instagram_Posts!A:A,$A74,Instagram_Posts!B:B,$B74))</f>
        <v/>
      </c>
      <c r="P74" s="7" t="str">
        <f>IF($A74="","",SUMIFS(Blog!E:E,Blog!B:B,$A74,Blog!C:C,$B74))</f>
        <v/>
      </c>
      <c r="Q74" s="7" t="str">
        <f>IF($A74="","",COUNTIFS(LinkedIn_Posts!A:A,$A74,LinkedIn_Posts!B:B,$B74))</f>
        <v/>
      </c>
      <c r="R74" s="7" t="str">
        <f>IF($A74="","",SUMIFS(LinkedIn_Posts!F:F,LinkedIn_Posts!A:A,$A74,LinkedIn_Posts!B:B,$B74))</f>
        <v/>
      </c>
      <c r="S74" s="7" t="str">
        <f>IF($A74="","",SUMIFS(LinkedIn_Posts!G:G,LinkedIn_Posts!A:A,$A74,LinkedIn_Posts!B:B,$B74))</f>
        <v/>
      </c>
      <c r="T74" s="7" t="str">
        <f>IF($A74="","",SUMIFS(LinkedIn_Posts!H:H,LinkedIn_Posts!A:A,$A74,LinkedIn_Posts!B:B,$B74))</f>
        <v/>
      </c>
      <c r="U74" s="7" t="str">
        <f>IF($A74="","",SUMIFS(LinkedIn_Posts!I:I,LinkedIn_Posts!A:A,$A74,LinkedIn_Posts!B:B,$B74))</f>
        <v/>
      </c>
    </row>
    <row r="75">
      <c r="A75" s="7" t="s">
        <v>47</v>
      </c>
      <c r="B75" s="7" t="s">
        <v>47</v>
      </c>
      <c r="C75" s="7" t="s">
        <v>47</v>
      </c>
      <c r="D75" s="7" t="str">
        <f>IF($A75="","",SUMIFS(YouTube_Long!G:G,YouTube_Long!A:A,$A75,YouTube_Long!B:B,$B75))</f>
        <v/>
      </c>
      <c r="E75" s="7" t="str">
        <f>IF($A75="","",SUMIFS(YouTube_Long!H:H,YouTube_Long!A:A,$A75,YouTube_Long!B:B,$B75))</f>
        <v/>
      </c>
      <c r="F75" s="7" t="str">
        <f>IF($A75="","",SUMIFS(YouTube_Long!I:I,YouTube_Long!A:A,$A75,YouTube_Long!B:B,$B75))</f>
        <v/>
      </c>
      <c r="G75" s="7" t="str">
        <f>IF($A75="","",COUNTIFS(YouTube_Shorts!A:A,$A75,YouTube_Shorts!B:B,$B75))</f>
        <v/>
      </c>
      <c r="H75" s="7" t="str">
        <f>IF($A75="","",SUMIFS(YouTube_Shorts!F:F,YouTube_Shorts!A:A,$A75,YouTube_Shorts!B:B,$B75))</f>
        <v/>
      </c>
      <c r="I75" s="7" t="str">
        <f>IF($A75="","",SUMIFS(YouTube_Shorts!G:G,YouTube_Shorts!A:A,$A75,YouTube_Shorts!B:B,$B75))</f>
        <v/>
      </c>
      <c r="J75" s="7" t="str">
        <f t="shared" si="1"/>
        <v/>
      </c>
      <c r="K75" s="7" t="str">
        <f>IF($A75="","",SUMIFS(Audio!D:D,Audio!A:A,$A75,Audio!B:B,$B75))</f>
        <v/>
      </c>
      <c r="L75" s="7" t="str">
        <f>IF($A75="","",COUNTIFS(TikTok_Posts!A:A,$A75,TikTok_Posts!B:B,$B75))</f>
        <v/>
      </c>
      <c r="M75" s="7" t="str">
        <f>IF($A75="","",SUMIFS(TikTok_Posts!E:E,TikTok_Posts!A:A,$A75,TikTok_Posts!B:B,$B75))</f>
        <v/>
      </c>
      <c r="N75" s="7" t="str">
        <f>IF($A75="","",COUNTIFS(Instagram_Posts!A:A,$A75,Instagram_Posts!B:B,$B75))</f>
        <v/>
      </c>
      <c r="O75" s="7" t="str">
        <f>IF($A75="","",SUMIFS(Instagram_Posts!E:E,Instagram_Posts!A:A,$A75,Instagram_Posts!B:B,$B75))</f>
        <v/>
      </c>
      <c r="P75" s="7" t="str">
        <f>IF($A75="","",SUMIFS(Blog!E:E,Blog!B:B,$A75,Blog!C:C,$B75))</f>
        <v/>
      </c>
      <c r="Q75" s="7" t="str">
        <f>IF($A75="","",COUNTIFS(LinkedIn_Posts!A:A,$A75,LinkedIn_Posts!B:B,$B75))</f>
        <v/>
      </c>
      <c r="R75" s="7" t="str">
        <f>IF($A75="","",SUMIFS(LinkedIn_Posts!F:F,LinkedIn_Posts!A:A,$A75,LinkedIn_Posts!B:B,$B75))</f>
        <v/>
      </c>
      <c r="S75" s="7" t="str">
        <f>IF($A75="","",SUMIFS(LinkedIn_Posts!G:G,LinkedIn_Posts!A:A,$A75,LinkedIn_Posts!B:B,$B75))</f>
        <v/>
      </c>
      <c r="T75" s="7" t="str">
        <f>IF($A75="","",SUMIFS(LinkedIn_Posts!H:H,LinkedIn_Posts!A:A,$A75,LinkedIn_Posts!B:B,$B75))</f>
        <v/>
      </c>
      <c r="U75" s="7" t="str">
        <f>IF($A75="","",SUMIFS(LinkedIn_Posts!I:I,LinkedIn_Posts!A:A,$A75,LinkedIn_Posts!B:B,$B75))</f>
        <v/>
      </c>
    </row>
    <row r="76">
      <c r="A76" s="7" t="s">
        <v>47</v>
      </c>
      <c r="B76" s="7" t="s">
        <v>47</v>
      </c>
      <c r="C76" s="7" t="s">
        <v>47</v>
      </c>
      <c r="D76" s="7" t="str">
        <f>IF($A76="","",SUMIFS(YouTube_Long!G:G,YouTube_Long!A:A,$A76,YouTube_Long!B:B,$B76))</f>
        <v/>
      </c>
      <c r="E76" s="7" t="str">
        <f>IF($A76="","",SUMIFS(YouTube_Long!H:H,YouTube_Long!A:A,$A76,YouTube_Long!B:B,$B76))</f>
        <v/>
      </c>
      <c r="F76" s="7" t="str">
        <f>IF($A76="","",SUMIFS(YouTube_Long!I:I,YouTube_Long!A:A,$A76,YouTube_Long!B:B,$B76))</f>
        <v/>
      </c>
      <c r="G76" s="7" t="str">
        <f>IF($A76="","",COUNTIFS(YouTube_Shorts!A:A,$A76,YouTube_Shorts!B:B,$B76))</f>
        <v/>
      </c>
      <c r="H76" s="7" t="str">
        <f>IF($A76="","",SUMIFS(YouTube_Shorts!F:F,YouTube_Shorts!A:A,$A76,YouTube_Shorts!B:B,$B76))</f>
        <v/>
      </c>
      <c r="I76" s="7" t="str">
        <f>IF($A76="","",SUMIFS(YouTube_Shorts!G:G,YouTube_Shorts!A:A,$A76,YouTube_Shorts!B:B,$B76))</f>
        <v/>
      </c>
      <c r="J76" s="7" t="str">
        <f t="shared" si="1"/>
        <v/>
      </c>
      <c r="K76" s="7" t="str">
        <f>IF($A76="","",SUMIFS(Audio!D:D,Audio!A:A,$A76,Audio!B:B,$B76))</f>
        <v/>
      </c>
      <c r="L76" s="7" t="str">
        <f>IF($A76="","",COUNTIFS(TikTok_Posts!A:A,$A76,TikTok_Posts!B:B,$B76))</f>
        <v/>
      </c>
      <c r="M76" s="7" t="str">
        <f>IF($A76="","",SUMIFS(TikTok_Posts!E:E,TikTok_Posts!A:A,$A76,TikTok_Posts!B:B,$B76))</f>
        <v/>
      </c>
      <c r="N76" s="7" t="str">
        <f>IF($A76="","",COUNTIFS(Instagram_Posts!A:A,$A76,Instagram_Posts!B:B,$B76))</f>
        <v/>
      </c>
      <c r="O76" s="7" t="str">
        <f>IF($A76="","",SUMIFS(Instagram_Posts!E:E,Instagram_Posts!A:A,$A76,Instagram_Posts!B:B,$B76))</f>
        <v/>
      </c>
      <c r="P76" s="7" t="str">
        <f>IF($A76="","",SUMIFS(Blog!E:E,Blog!B:B,$A76,Blog!C:C,$B76))</f>
        <v/>
      </c>
      <c r="Q76" s="7" t="str">
        <f>IF($A76="","",COUNTIFS(LinkedIn_Posts!A:A,$A76,LinkedIn_Posts!B:B,$B76))</f>
        <v/>
      </c>
      <c r="R76" s="7" t="str">
        <f>IF($A76="","",SUMIFS(LinkedIn_Posts!F:F,LinkedIn_Posts!A:A,$A76,LinkedIn_Posts!B:B,$B76))</f>
        <v/>
      </c>
      <c r="S76" s="7" t="str">
        <f>IF($A76="","",SUMIFS(LinkedIn_Posts!G:G,LinkedIn_Posts!A:A,$A76,LinkedIn_Posts!B:B,$B76))</f>
        <v/>
      </c>
      <c r="T76" s="7" t="str">
        <f>IF($A76="","",SUMIFS(LinkedIn_Posts!H:H,LinkedIn_Posts!A:A,$A76,LinkedIn_Posts!B:B,$B76))</f>
        <v/>
      </c>
      <c r="U76" s="7" t="str">
        <f>IF($A76="","",SUMIFS(LinkedIn_Posts!I:I,LinkedIn_Posts!A:A,$A76,LinkedIn_Posts!B:B,$B76))</f>
        <v/>
      </c>
    </row>
    <row r="77">
      <c r="A77" s="7" t="s">
        <v>47</v>
      </c>
      <c r="B77" s="7" t="s">
        <v>47</v>
      </c>
      <c r="C77" s="7" t="s">
        <v>47</v>
      </c>
      <c r="D77" s="7" t="str">
        <f>IF($A77="","",SUMIFS(YouTube_Long!G:G,YouTube_Long!A:A,$A77,YouTube_Long!B:B,$B77))</f>
        <v/>
      </c>
      <c r="E77" s="7" t="str">
        <f>IF($A77="","",SUMIFS(YouTube_Long!H:H,YouTube_Long!A:A,$A77,YouTube_Long!B:B,$B77))</f>
        <v/>
      </c>
      <c r="F77" s="7" t="str">
        <f>IF($A77="","",SUMIFS(YouTube_Long!I:I,YouTube_Long!A:A,$A77,YouTube_Long!B:B,$B77))</f>
        <v/>
      </c>
      <c r="G77" s="7" t="str">
        <f>IF($A77="","",COUNTIFS(YouTube_Shorts!A:A,$A77,YouTube_Shorts!B:B,$B77))</f>
        <v/>
      </c>
      <c r="H77" s="7" t="str">
        <f>IF($A77="","",SUMIFS(YouTube_Shorts!F:F,YouTube_Shorts!A:A,$A77,YouTube_Shorts!B:B,$B77))</f>
        <v/>
      </c>
      <c r="I77" s="7" t="str">
        <f>IF($A77="","",SUMIFS(YouTube_Shorts!G:G,YouTube_Shorts!A:A,$A77,YouTube_Shorts!B:B,$B77))</f>
        <v/>
      </c>
      <c r="J77" s="7" t="str">
        <f t="shared" si="1"/>
        <v/>
      </c>
      <c r="K77" s="7" t="str">
        <f>IF($A77="","",SUMIFS(Audio!D:D,Audio!A:A,$A77,Audio!B:B,$B77))</f>
        <v/>
      </c>
      <c r="L77" s="7" t="str">
        <f>IF($A77="","",COUNTIFS(TikTok_Posts!A:A,$A77,TikTok_Posts!B:B,$B77))</f>
        <v/>
      </c>
      <c r="M77" s="7" t="str">
        <f>IF($A77="","",SUMIFS(TikTok_Posts!E:E,TikTok_Posts!A:A,$A77,TikTok_Posts!B:B,$B77))</f>
        <v/>
      </c>
      <c r="N77" s="7" t="str">
        <f>IF($A77="","",COUNTIFS(Instagram_Posts!A:A,$A77,Instagram_Posts!B:B,$B77))</f>
        <v/>
      </c>
      <c r="O77" s="7" t="str">
        <f>IF($A77="","",SUMIFS(Instagram_Posts!E:E,Instagram_Posts!A:A,$A77,Instagram_Posts!B:B,$B77))</f>
        <v/>
      </c>
      <c r="P77" s="7" t="str">
        <f>IF($A77="","",SUMIFS(Blog!E:E,Blog!B:B,$A77,Blog!C:C,$B77))</f>
        <v/>
      </c>
      <c r="Q77" s="7" t="str">
        <f>IF($A77="","",COUNTIFS(LinkedIn_Posts!A:A,$A77,LinkedIn_Posts!B:B,$B77))</f>
        <v/>
      </c>
      <c r="R77" s="7" t="str">
        <f>IF($A77="","",SUMIFS(LinkedIn_Posts!F:F,LinkedIn_Posts!A:A,$A77,LinkedIn_Posts!B:B,$B77))</f>
        <v/>
      </c>
      <c r="S77" s="7" t="str">
        <f>IF($A77="","",SUMIFS(LinkedIn_Posts!G:G,LinkedIn_Posts!A:A,$A77,LinkedIn_Posts!B:B,$B77))</f>
        <v/>
      </c>
      <c r="T77" s="7" t="str">
        <f>IF($A77="","",SUMIFS(LinkedIn_Posts!H:H,LinkedIn_Posts!A:A,$A77,LinkedIn_Posts!B:B,$B77))</f>
        <v/>
      </c>
      <c r="U77" s="7" t="str">
        <f>IF($A77="","",SUMIFS(LinkedIn_Posts!I:I,LinkedIn_Posts!A:A,$A77,LinkedIn_Posts!B:B,$B77))</f>
        <v/>
      </c>
    </row>
    <row r="78">
      <c r="A78" s="7" t="s">
        <v>47</v>
      </c>
      <c r="B78" s="7" t="s">
        <v>47</v>
      </c>
      <c r="C78" s="7" t="s">
        <v>47</v>
      </c>
      <c r="D78" s="7" t="str">
        <f>IF($A78="","",SUMIFS(YouTube_Long!G:G,YouTube_Long!A:A,$A78,YouTube_Long!B:B,$B78))</f>
        <v/>
      </c>
      <c r="E78" s="7" t="str">
        <f>IF($A78="","",SUMIFS(YouTube_Long!H:H,YouTube_Long!A:A,$A78,YouTube_Long!B:B,$B78))</f>
        <v/>
      </c>
      <c r="F78" s="7" t="str">
        <f>IF($A78="","",SUMIFS(YouTube_Long!I:I,YouTube_Long!A:A,$A78,YouTube_Long!B:B,$B78))</f>
        <v/>
      </c>
      <c r="G78" s="7" t="str">
        <f>IF($A78="","",COUNTIFS(YouTube_Shorts!A:A,$A78,YouTube_Shorts!B:B,$B78))</f>
        <v/>
      </c>
      <c r="H78" s="7" t="str">
        <f>IF($A78="","",SUMIFS(YouTube_Shorts!F:F,YouTube_Shorts!A:A,$A78,YouTube_Shorts!B:B,$B78))</f>
        <v/>
      </c>
      <c r="I78" s="7" t="str">
        <f>IF($A78="","",SUMIFS(YouTube_Shorts!G:G,YouTube_Shorts!A:A,$A78,YouTube_Shorts!B:B,$B78))</f>
        <v/>
      </c>
      <c r="J78" s="7" t="str">
        <f t="shared" si="1"/>
        <v/>
      </c>
      <c r="K78" s="7" t="str">
        <f>IF($A78="","",SUMIFS(Audio!D:D,Audio!A:A,$A78,Audio!B:B,$B78))</f>
        <v/>
      </c>
      <c r="L78" s="7" t="str">
        <f>IF($A78="","",COUNTIFS(TikTok_Posts!A:A,$A78,TikTok_Posts!B:B,$B78))</f>
        <v/>
      </c>
      <c r="M78" s="7" t="str">
        <f>IF($A78="","",SUMIFS(TikTok_Posts!E:E,TikTok_Posts!A:A,$A78,TikTok_Posts!B:B,$B78))</f>
        <v/>
      </c>
      <c r="N78" s="7" t="str">
        <f>IF($A78="","",COUNTIFS(Instagram_Posts!A:A,$A78,Instagram_Posts!B:B,$B78))</f>
        <v/>
      </c>
      <c r="O78" s="7" t="str">
        <f>IF($A78="","",SUMIFS(Instagram_Posts!E:E,Instagram_Posts!A:A,$A78,Instagram_Posts!B:B,$B78))</f>
        <v/>
      </c>
      <c r="P78" s="7" t="str">
        <f>IF($A78="","",SUMIFS(Blog!E:E,Blog!B:B,$A78,Blog!C:C,$B78))</f>
        <v/>
      </c>
      <c r="Q78" s="7" t="str">
        <f>IF($A78="","",COUNTIFS(LinkedIn_Posts!A:A,$A78,LinkedIn_Posts!B:B,$B78))</f>
        <v/>
      </c>
      <c r="R78" s="7" t="str">
        <f>IF($A78="","",SUMIFS(LinkedIn_Posts!F:F,LinkedIn_Posts!A:A,$A78,LinkedIn_Posts!B:B,$B78))</f>
        <v/>
      </c>
      <c r="S78" s="7" t="str">
        <f>IF($A78="","",SUMIFS(LinkedIn_Posts!G:G,LinkedIn_Posts!A:A,$A78,LinkedIn_Posts!B:B,$B78))</f>
        <v/>
      </c>
      <c r="T78" s="7" t="str">
        <f>IF($A78="","",SUMIFS(LinkedIn_Posts!H:H,LinkedIn_Posts!A:A,$A78,LinkedIn_Posts!B:B,$B78))</f>
        <v/>
      </c>
      <c r="U78" s="7" t="str">
        <f>IF($A78="","",SUMIFS(LinkedIn_Posts!I:I,LinkedIn_Posts!A:A,$A78,LinkedIn_Posts!B:B,$B78))</f>
        <v/>
      </c>
    </row>
    <row r="79">
      <c r="A79" s="7" t="s">
        <v>47</v>
      </c>
      <c r="B79" s="7" t="s">
        <v>47</v>
      </c>
      <c r="C79" s="7" t="s">
        <v>47</v>
      </c>
      <c r="D79" s="7" t="str">
        <f>IF($A79="","",SUMIFS(YouTube_Long!G:G,YouTube_Long!A:A,$A79,YouTube_Long!B:B,$B79))</f>
        <v/>
      </c>
      <c r="E79" s="7" t="str">
        <f>IF($A79="","",SUMIFS(YouTube_Long!H:H,YouTube_Long!A:A,$A79,YouTube_Long!B:B,$B79))</f>
        <v/>
      </c>
      <c r="F79" s="7" t="str">
        <f>IF($A79="","",SUMIFS(YouTube_Long!I:I,YouTube_Long!A:A,$A79,YouTube_Long!B:B,$B79))</f>
        <v/>
      </c>
      <c r="G79" s="7" t="str">
        <f>IF($A79="","",COUNTIFS(YouTube_Shorts!A:A,$A79,YouTube_Shorts!B:B,$B79))</f>
        <v/>
      </c>
      <c r="H79" s="7" t="str">
        <f>IF($A79="","",SUMIFS(YouTube_Shorts!F:F,YouTube_Shorts!A:A,$A79,YouTube_Shorts!B:B,$B79))</f>
        <v/>
      </c>
      <c r="I79" s="7" t="str">
        <f>IF($A79="","",SUMIFS(YouTube_Shorts!G:G,YouTube_Shorts!A:A,$A79,YouTube_Shorts!B:B,$B79))</f>
        <v/>
      </c>
      <c r="J79" s="7" t="str">
        <f t="shared" si="1"/>
        <v/>
      </c>
      <c r="K79" s="7" t="str">
        <f>IF($A79="","",SUMIFS(Audio!D:D,Audio!A:A,$A79,Audio!B:B,$B79))</f>
        <v/>
      </c>
      <c r="L79" s="7" t="str">
        <f>IF($A79="","",COUNTIFS(TikTok_Posts!A:A,$A79,TikTok_Posts!B:B,$B79))</f>
        <v/>
      </c>
      <c r="M79" s="7" t="str">
        <f>IF($A79="","",SUMIFS(TikTok_Posts!E:E,TikTok_Posts!A:A,$A79,TikTok_Posts!B:B,$B79))</f>
        <v/>
      </c>
      <c r="N79" s="7" t="str">
        <f>IF($A79="","",COUNTIFS(Instagram_Posts!A:A,$A79,Instagram_Posts!B:B,$B79))</f>
        <v/>
      </c>
      <c r="O79" s="7" t="str">
        <f>IF($A79="","",SUMIFS(Instagram_Posts!E:E,Instagram_Posts!A:A,$A79,Instagram_Posts!B:B,$B79))</f>
        <v/>
      </c>
      <c r="P79" s="7" t="str">
        <f>IF($A79="","",SUMIFS(Blog!E:E,Blog!B:B,$A79,Blog!C:C,$B79))</f>
        <v/>
      </c>
      <c r="Q79" s="7" t="str">
        <f>IF($A79="","",COUNTIFS(LinkedIn_Posts!A:A,$A79,LinkedIn_Posts!B:B,$B79))</f>
        <v/>
      </c>
      <c r="R79" s="7" t="str">
        <f>IF($A79="","",SUMIFS(LinkedIn_Posts!F:F,LinkedIn_Posts!A:A,$A79,LinkedIn_Posts!B:B,$B79))</f>
        <v/>
      </c>
      <c r="S79" s="7" t="str">
        <f>IF($A79="","",SUMIFS(LinkedIn_Posts!G:G,LinkedIn_Posts!A:A,$A79,LinkedIn_Posts!B:B,$B79))</f>
        <v/>
      </c>
      <c r="T79" s="7" t="str">
        <f>IF($A79="","",SUMIFS(LinkedIn_Posts!H:H,LinkedIn_Posts!A:A,$A79,LinkedIn_Posts!B:B,$B79))</f>
        <v/>
      </c>
      <c r="U79" s="7" t="str">
        <f>IF($A79="","",SUMIFS(LinkedIn_Posts!I:I,LinkedIn_Posts!A:A,$A79,LinkedIn_Posts!B:B,$B79))</f>
        <v/>
      </c>
    </row>
    <row r="80">
      <c r="A80" s="7" t="s">
        <v>47</v>
      </c>
      <c r="B80" s="7" t="s">
        <v>47</v>
      </c>
      <c r="C80" s="7" t="s">
        <v>47</v>
      </c>
      <c r="D80" s="7" t="str">
        <f>IF($A80="","",SUMIFS(YouTube_Long!G:G,YouTube_Long!A:A,$A80,YouTube_Long!B:B,$B80))</f>
        <v/>
      </c>
      <c r="E80" s="7" t="str">
        <f>IF($A80="","",SUMIFS(YouTube_Long!H:H,YouTube_Long!A:A,$A80,YouTube_Long!B:B,$B80))</f>
        <v/>
      </c>
      <c r="F80" s="7" t="str">
        <f>IF($A80="","",SUMIFS(YouTube_Long!I:I,YouTube_Long!A:A,$A80,YouTube_Long!B:B,$B80))</f>
        <v/>
      </c>
      <c r="G80" s="7" t="str">
        <f>IF($A80="","",COUNTIFS(YouTube_Shorts!A:A,$A80,YouTube_Shorts!B:B,$B80))</f>
        <v/>
      </c>
      <c r="H80" s="7" t="str">
        <f>IF($A80="","",SUMIFS(YouTube_Shorts!F:F,YouTube_Shorts!A:A,$A80,YouTube_Shorts!B:B,$B80))</f>
        <v/>
      </c>
      <c r="I80" s="7" t="str">
        <f>IF($A80="","",SUMIFS(YouTube_Shorts!G:G,YouTube_Shorts!A:A,$A80,YouTube_Shorts!B:B,$B80))</f>
        <v/>
      </c>
      <c r="J80" s="7" t="str">
        <f t="shared" si="1"/>
        <v/>
      </c>
      <c r="K80" s="7" t="str">
        <f>IF($A80="","",SUMIFS(Audio!D:D,Audio!A:A,$A80,Audio!B:B,$B80))</f>
        <v/>
      </c>
      <c r="L80" s="7" t="str">
        <f>IF($A80="","",COUNTIFS(TikTok_Posts!A:A,$A80,TikTok_Posts!B:B,$B80))</f>
        <v/>
      </c>
      <c r="M80" s="7" t="str">
        <f>IF($A80="","",SUMIFS(TikTok_Posts!E:E,TikTok_Posts!A:A,$A80,TikTok_Posts!B:B,$B80))</f>
        <v/>
      </c>
      <c r="N80" s="7" t="str">
        <f>IF($A80="","",COUNTIFS(Instagram_Posts!A:A,$A80,Instagram_Posts!B:B,$B80))</f>
        <v/>
      </c>
      <c r="O80" s="7" t="str">
        <f>IF($A80="","",SUMIFS(Instagram_Posts!E:E,Instagram_Posts!A:A,$A80,Instagram_Posts!B:B,$B80))</f>
        <v/>
      </c>
      <c r="P80" s="7" t="str">
        <f>IF($A80="","",SUMIFS(Blog!E:E,Blog!B:B,$A80,Blog!C:C,$B80))</f>
        <v/>
      </c>
      <c r="Q80" s="7" t="str">
        <f>IF($A80="","",COUNTIFS(LinkedIn_Posts!A:A,$A80,LinkedIn_Posts!B:B,$B80))</f>
        <v/>
      </c>
      <c r="R80" s="7" t="str">
        <f>IF($A80="","",SUMIFS(LinkedIn_Posts!F:F,LinkedIn_Posts!A:A,$A80,LinkedIn_Posts!B:B,$B80))</f>
        <v/>
      </c>
      <c r="S80" s="7" t="str">
        <f>IF($A80="","",SUMIFS(LinkedIn_Posts!G:G,LinkedIn_Posts!A:A,$A80,LinkedIn_Posts!B:B,$B80))</f>
        <v/>
      </c>
      <c r="T80" s="7" t="str">
        <f>IF($A80="","",SUMIFS(LinkedIn_Posts!H:H,LinkedIn_Posts!A:A,$A80,LinkedIn_Posts!B:B,$B80))</f>
        <v/>
      </c>
      <c r="U80" s="7" t="str">
        <f>IF($A80="","",SUMIFS(LinkedIn_Posts!I:I,LinkedIn_Posts!A:A,$A80,LinkedIn_Posts!B:B,$B80))</f>
        <v/>
      </c>
    </row>
    <row r="81">
      <c r="A81" s="7" t="s">
        <v>47</v>
      </c>
      <c r="B81" s="7" t="s">
        <v>47</v>
      </c>
      <c r="C81" s="7" t="s">
        <v>47</v>
      </c>
      <c r="D81" s="7" t="str">
        <f>IF($A81="","",SUMIFS(YouTube_Long!G:G,YouTube_Long!A:A,$A81,YouTube_Long!B:B,$B81))</f>
        <v/>
      </c>
      <c r="E81" s="7" t="str">
        <f>IF($A81="","",SUMIFS(YouTube_Long!H:H,YouTube_Long!A:A,$A81,YouTube_Long!B:B,$B81))</f>
        <v/>
      </c>
      <c r="F81" s="7" t="str">
        <f>IF($A81="","",SUMIFS(YouTube_Long!I:I,YouTube_Long!A:A,$A81,YouTube_Long!B:B,$B81))</f>
        <v/>
      </c>
      <c r="G81" s="7" t="str">
        <f>IF($A81="","",COUNTIFS(YouTube_Shorts!A:A,$A81,YouTube_Shorts!B:B,$B81))</f>
        <v/>
      </c>
      <c r="H81" s="7" t="str">
        <f>IF($A81="","",SUMIFS(YouTube_Shorts!F:F,YouTube_Shorts!A:A,$A81,YouTube_Shorts!B:B,$B81))</f>
        <v/>
      </c>
      <c r="I81" s="7" t="str">
        <f>IF($A81="","",SUMIFS(YouTube_Shorts!G:G,YouTube_Shorts!A:A,$A81,YouTube_Shorts!B:B,$B81))</f>
        <v/>
      </c>
      <c r="J81" s="7" t="str">
        <f t="shared" si="1"/>
        <v/>
      </c>
      <c r="K81" s="7" t="str">
        <f>IF($A81="","",SUMIFS(Audio!D:D,Audio!A:A,$A81,Audio!B:B,$B81))</f>
        <v/>
      </c>
      <c r="L81" s="7" t="str">
        <f>IF($A81="","",COUNTIFS(TikTok_Posts!A:A,$A81,TikTok_Posts!B:B,$B81))</f>
        <v/>
      </c>
      <c r="M81" s="7" t="str">
        <f>IF($A81="","",SUMIFS(TikTok_Posts!E:E,TikTok_Posts!A:A,$A81,TikTok_Posts!B:B,$B81))</f>
        <v/>
      </c>
      <c r="N81" s="7" t="str">
        <f>IF($A81="","",COUNTIFS(Instagram_Posts!A:A,$A81,Instagram_Posts!B:B,$B81))</f>
        <v/>
      </c>
      <c r="O81" s="7" t="str">
        <f>IF($A81="","",SUMIFS(Instagram_Posts!E:E,Instagram_Posts!A:A,$A81,Instagram_Posts!B:B,$B81))</f>
        <v/>
      </c>
      <c r="P81" s="7" t="str">
        <f>IF($A81="","",SUMIFS(Blog!E:E,Blog!B:B,$A81,Blog!C:C,$B81))</f>
        <v/>
      </c>
      <c r="Q81" s="7" t="str">
        <f>IF($A81="","",COUNTIFS(LinkedIn_Posts!A:A,$A81,LinkedIn_Posts!B:B,$B81))</f>
        <v/>
      </c>
      <c r="R81" s="7" t="str">
        <f>IF($A81="","",SUMIFS(LinkedIn_Posts!F:F,LinkedIn_Posts!A:A,$A81,LinkedIn_Posts!B:B,$B81))</f>
        <v/>
      </c>
      <c r="S81" s="7" t="str">
        <f>IF($A81="","",SUMIFS(LinkedIn_Posts!G:G,LinkedIn_Posts!A:A,$A81,LinkedIn_Posts!B:B,$B81))</f>
        <v/>
      </c>
      <c r="T81" s="7" t="str">
        <f>IF($A81="","",SUMIFS(LinkedIn_Posts!H:H,LinkedIn_Posts!A:A,$A81,LinkedIn_Posts!B:B,$B81))</f>
        <v/>
      </c>
      <c r="U81" s="7" t="str">
        <f>IF($A81="","",SUMIFS(LinkedIn_Posts!I:I,LinkedIn_Posts!A:A,$A81,LinkedIn_Posts!B:B,$B81))</f>
        <v/>
      </c>
    </row>
    <row r="82">
      <c r="A82" s="7" t="s">
        <v>47</v>
      </c>
      <c r="B82" s="7" t="s">
        <v>47</v>
      </c>
      <c r="C82" s="7" t="s">
        <v>47</v>
      </c>
      <c r="D82" s="7" t="str">
        <f>IF($A82="","",SUMIFS(YouTube_Long!G:G,YouTube_Long!A:A,$A82,YouTube_Long!B:B,$B82))</f>
        <v/>
      </c>
      <c r="E82" s="7" t="str">
        <f>IF($A82="","",SUMIFS(YouTube_Long!H:H,YouTube_Long!A:A,$A82,YouTube_Long!B:B,$B82))</f>
        <v/>
      </c>
      <c r="F82" s="7" t="str">
        <f>IF($A82="","",SUMIFS(YouTube_Long!I:I,YouTube_Long!A:A,$A82,YouTube_Long!B:B,$B82))</f>
        <v/>
      </c>
      <c r="G82" s="7" t="str">
        <f>IF($A82="","",COUNTIFS(YouTube_Shorts!A:A,$A82,YouTube_Shorts!B:B,$B82))</f>
        <v/>
      </c>
      <c r="H82" s="7" t="str">
        <f>IF($A82="","",SUMIFS(YouTube_Shorts!F:F,YouTube_Shorts!A:A,$A82,YouTube_Shorts!B:B,$B82))</f>
        <v/>
      </c>
      <c r="I82" s="7" t="str">
        <f>IF($A82="","",SUMIFS(YouTube_Shorts!G:G,YouTube_Shorts!A:A,$A82,YouTube_Shorts!B:B,$B82))</f>
        <v/>
      </c>
      <c r="J82" s="7" t="str">
        <f t="shared" si="1"/>
        <v/>
      </c>
      <c r="K82" s="7" t="str">
        <f>IF($A82="","",SUMIFS(Audio!D:D,Audio!A:A,$A82,Audio!B:B,$B82))</f>
        <v/>
      </c>
      <c r="L82" s="7" t="str">
        <f>IF($A82="","",COUNTIFS(TikTok_Posts!A:A,$A82,TikTok_Posts!B:B,$B82))</f>
        <v/>
      </c>
      <c r="M82" s="7" t="str">
        <f>IF($A82="","",SUMIFS(TikTok_Posts!E:E,TikTok_Posts!A:A,$A82,TikTok_Posts!B:B,$B82))</f>
        <v/>
      </c>
      <c r="N82" s="7" t="str">
        <f>IF($A82="","",COUNTIFS(Instagram_Posts!A:A,$A82,Instagram_Posts!B:B,$B82))</f>
        <v/>
      </c>
      <c r="O82" s="7" t="str">
        <f>IF($A82="","",SUMIFS(Instagram_Posts!E:E,Instagram_Posts!A:A,$A82,Instagram_Posts!B:B,$B82))</f>
        <v/>
      </c>
      <c r="P82" s="7" t="str">
        <f>IF($A82="","",SUMIFS(Blog!E:E,Blog!B:B,$A82,Blog!C:C,$B82))</f>
        <v/>
      </c>
      <c r="Q82" s="7" t="str">
        <f>IF($A82="","",COUNTIFS(LinkedIn_Posts!A:A,$A82,LinkedIn_Posts!B:B,$B82))</f>
        <v/>
      </c>
      <c r="R82" s="7" t="str">
        <f>IF($A82="","",SUMIFS(LinkedIn_Posts!F:F,LinkedIn_Posts!A:A,$A82,LinkedIn_Posts!B:B,$B82))</f>
        <v/>
      </c>
      <c r="S82" s="7" t="str">
        <f>IF($A82="","",SUMIFS(LinkedIn_Posts!G:G,LinkedIn_Posts!A:A,$A82,LinkedIn_Posts!B:B,$B82))</f>
        <v/>
      </c>
      <c r="T82" s="7" t="str">
        <f>IF($A82="","",SUMIFS(LinkedIn_Posts!H:H,LinkedIn_Posts!A:A,$A82,LinkedIn_Posts!B:B,$B82))</f>
        <v/>
      </c>
      <c r="U82" s="7" t="str">
        <f>IF($A82="","",SUMIFS(LinkedIn_Posts!I:I,LinkedIn_Posts!A:A,$A82,LinkedIn_Posts!B:B,$B82))</f>
        <v/>
      </c>
    </row>
    <row r="83">
      <c r="A83" s="7" t="s">
        <v>47</v>
      </c>
      <c r="B83" s="7" t="s">
        <v>47</v>
      </c>
      <c r="C83" s="7" t="s">
        <v>47</v>
      </c>
      <c r="D83" s="7" t="str">
        <f>IF($A83="","",SUMIFS(YouTube_Long!G:G,YouTube_Long!A:A,$A83,YouTube_Long!B:B,$B83))</f>
        <v/>
      </c>
      <c r="E83" s="7" t="str">
        <f>IF($A83="","",SUMIFS(YouTube_Long!H:H,YouTube_Long!A:A,$A83,YouTube_Long!B:B,$B83))</f>
        <v/>
      </c>
      <c r="F83" s="7" t="str">
        <f>IF($A83="","",SUMIFS(YouTube_Long!I:I,YouTube_Long!A:A,$A83,YouTube_Long!B:B,$B83))</f>
        <v/>
      </c>
      <c r="G83" s="7" t="str">
        <f>IF($A83="","",COUNTIFS(YouTube_Shorts!A:A,$A83,YouTube_Shorts!B:B,$B83))</f>
        <v/>
      </c>
      <c r="H83" s="7" t="str">
        <f>IF($A83="","",SUMIFS(YouTube_Shorts!F:F,YouTube_Shorts!A:A,$A83,YouTube_Shorts!B:B,$B83))</f>
        <v/>
      </c>
      <c r="I83" s="7" t="str">
        <f>IF($A83="","",SUMIFS(YouTube_Shorts!G:G,YouTube_Shorts!A:A,$A83,YouTube_Shorts!B:B,$B83))</f>
        <v/>
      </c>
      <c r="J83" s="7" t="str">
        <f t="shared" si="1"/>
        <v/>
      </c>
      <c r="K83" s="7" t="str">
        <f>IF($A83="","",SUMIFS(Audio!D:D,Audio!A:A,$A83,Audio!B:B,$B83))</f>
        <v/>
      </c>
      <c r="L83" s="7" t="str">
        <f>IF($A83="","",COUNTIFS(TikTok_Posts!A:A,$A83,TikTok_Posts!B:B,$B83))</f>
        <v/>
      </c>
      <c r="M83" s="7" t="str">
        <f>IF($A83="","",SUMIFS(TikTok_Posts!E:E,TikTok_Posts!A:A,$A83,TikTok_Posts!B:B,$B83))</f>
        <v/>
      </c>
      <c r="N83" s="7" t="str">
        <f>IF($A83="","",COUNTIFS(Instagram_Posts!A:A,$A83,Instagram_Posts!B:B,$B83))</f>
        <v/>
      </c>
      <c r="O83" s="7" t="str">
        <f>IF($A83="","",SUMIFS(Instagram_Posts!E:E,Instagram_Posts!A:A,$A83,Instagram_Posts!B:B,$B83))</f>
        <v/>
      </c>
      <c r="P83" s="7" t="str">
        <f>IF($A83="","",SUMIFS(Blog!E:E,Blog!B:B,$A83,Blog!C:C,$B83))</f>
        <v/>
      </c>
      <c r="Q83" s="7" t="str">
        <f>IF($A83="","",COUNTIFS(LinkedIn_Posts!A:A,$A83,LinkedIn_Posts!B:B,$B83))</f>
        <v/>
      </c>
      <c r="R83" s="7" t="str">
        <f>IF($A83="","",SUMIFS(LinkedIn_Posts!F:F,LinkedIn_Posts!A:A,$A83,LinkedIn_Posts!B:B,$B83))</f>
        <v/>
      </c>
      <c r="S83" s="7" t="str">
        <f>IF($A83="","",SUMIFS(LinkedIn_Posts!G:G,LinkedIn_Posts!A:A,$A83,LinkedIn_Posts!B:B,$B83))</f>
        <v/>
      </c>
      <c r="T83" s="7" t="str">
        <f>IF($A83="","",SUMIFS(LinkedIn_Posts!H:H,LinkedIn_Posts!A:A,$A83,LinkedIn_Posts!B:B,$B83))</f>
        <v/>
      </c>
      <c r="U83" s="7" t="str">
        <f>IF($A83="","",SUMIFS(LinkedIn_Posts!I:I,LinkedIn_Posts!A:A,$A83,LinkedIn_Posts!B:B,$B83))</f>
        <v/>
      </c>
    </row>
    <row r="84">
      <c r="A84" s="7" t="s">
        <v>47</v>
      </c>
      <c r="B84" s="7" t="s">
        <v>47</v>
      </c>
      <c r="C84" s="7" t="s">
        <v>47</v>
      </c>
      <c r="D84" s="7" t="str">
        <f>IF($A84="","",SUMIFS(YouTube_Long!G:G,YouTube_Long!A:A,$A84,YouTube_Long!B:B,$B84))</f>
        <v/>
      </c>
      <c r="E84" s="7" t="str">
        <f>IF($A84="","",SUMIFS(YouTube_Long!H:H,YouTube_Long!A:A,$A84,YouTube_Long!B:B,$B84))</f>
        <v/>
      </c>
      <c r="F84" s="7" t="str">
        <f>IF($A84="","",SUMIFS(YouTube_Long!I:I,YouTube_Long!A:A,$A84,YouTube_Long!B:B,$B84))</f>
        <v/>
      </c>
      <c r="G84" s="7" t="str">
        <f>IF($A84="","",COUNTIFS(YouTube_Shorts!A:A,$A84,YouTube_Shorts!B:B,$B84))</f>
        <v/>
      </c>
      <c r="H84" s="7" t="str">
        <f>IF($A84="","",SUMIFS(YouTube_Shorts!F:F,YouTube_Shorts!A:A,$A84,YouTube_Shorts!B:B,$B84))</f>
        <v/>
      </c>
      <c r="I84" s="7" t="str">
        <f>IF($A84="","",SUMIFS(YouTube_Shorts!G:G,YouTube_Shorts!A:A,$A84,YouTube_Shorts!B:B,$B84))</f>
        <v/>
      </c>
      <c r="J84" s="7" t="str">
        <f t="shared" si="1"/>
        <v/>
      </c>
      <c r="K84" s="7" t="str">
        <f>IF($A84="","",SUMIFS(Audio!D:D,Audio!A:A,$A84,Audio!B:B,$B84))</f>
        <v/>
      </c>
      <c r="L84" s="7" t="str">
        <f>IF($A84="","",COUNTIFS(TikTok_Posts!A:A,$A84,TikTok_Posts!B:B,$B84))</f>
        <v/>
      </c>
      <c r="M84" s="7" t="str">
        <f>IF($A84="","",SUMIFS(TikTok_Posts!E:E,TikTok_Posts!A:A,$A84,TikTok_Posts!B:B,$B84))</f>
        <v/>
      </c>
      <c r="N84" s="7" t="str">
        <f>IF($A84="","",COUNTIFS(Instagram_Posts!A:A,$A84,Instagram_Posts!B:B,$B84))</f>
        <v/>
      </c>
      <c r="O84" s="7" t="str">
        <f>IF($A84="","",SUMIFS(Instagram_Posts!E:E,Instagram_Posts!A:A,$A84,Instagram_Posts!B:B,$B84))</f>
        <v/>
      </c>
      <c r="P84" s="7" t="str">
        <f>IF($A84="","",SUMIFS(Blog!E:E,Blog!B:B,$A84,Blog!C:C,$B84))</f>
        <v/>
      </c>
      <c r="Q84" s="7" t="str">
        <f>IF($A84="","",COUNTIFS(LinkedIn_Posts!A:A,$A84,LinkedIn_Posts!B:B,$B84))</f>
        <v/>
      </c>
      <c r="R84" s="7" t="str">
        <f>IF($A84="","",SUMIFS(LinkedIn_Posts!F:F,LinkedIn_Posts!A:A,$A84,LinkedIn_Posts!B:B,$B84))</f>
        <v/>
      </c>
      <c r="S84" s="7" t="str">
        <f>IF($A84="","",SUMIFS(LinkedIn_Posts!G:G,LinkedIn_Posts!A:A,$A84,LinkedIn_Posts!B:B,$B84))</f>
        <v/>
      </c>
      <c r="T84" s="7" t="str">
        <f>IF($A84="","",SUMIFS(LinkedIn_Posts!H:H,LinkedIn_Posts!A:A,$A84,LinkedIn_Posts!B:B,$B84))</f>
        <v/>
      </c>
      <c r="U84" s="7" t="str">
        <f>IF($A84="","",SUMIFS(LinkedIn_Posts!I:I,LinkedIn_Posts!A:A,$A84,LinkedIn_Posts!B:B,$B84))</f>
        <v/>
      </c>
    </row>
    <row r="85">
      <c r="A85" s="7" t="s">
        <v>47</v>
      </c>
      <c r="B85" s="7" t="s">
        <v>47</v>
      </c>
      <c r="C85" s="7" t="s">
        <v>47</v>
      </c>
      <c r="D85" s="7" t="str">
        <f>IF($A85="","",SUMIFS(YouTube_Long!G:G,YouTube_Long!A:A,$A85,YouTube_Long!B:B,$B85))</f>
        <v/>
      </c>
      <c r="E85" s="7" t="str">
        <f>IF($A85="","",SUMIFS(YouTube_Long!H:H,YouTube_Long!A:A,$A85,YouTube_Long!B:B,$B85))</f>
        <v/>
      </c>
      <c r="F85" s="7" t="str">
        <f>IF($A85="","",SUMIFS(YouTube_Long!I:I,YouTube_Long!A:A,$A85,YouTube_Long!B:B,$B85))</f>
        <v/>
      </c>
      <c r="G85" s="7" t="str">
        <f>IF($A85="","",COUNTIFS(YouTube_Shorts!A:A,$A85,YouTube_Shorts!B:B,$B85))</f>
        <v/>
      </c>
      <c r="H85" s="7" t="str">
        <f>IF($A85="","",SUMIFS(YouTube_Shorts!F:F,YouTube_Shorts!A:A,$A85,YouTube_Shorts!B:B,$B85))</f>
        <v/>
      </c>
      <c r="I85" s="7" t="str">
        <f>IF($A85="","",SUMIFS(YouTube_Shorts!G:G,YouTube_Shorts!A:A,$A85,YouTube_Shorts!B:B,$B85))</f>
        <v/>
      </c>
      <c r="J85" s="7" t="str">
        <f t="shared" si="1"/>
        <v/>
      </c>
      <c r="K85" s="7" t="str">
        <f>IF($A85="","",SUMIFS(Audio!D:D,Audio!A:A,$A85,Audio!B:B,$B85))</f>
        <v/>
      </c>
      <c r="L85" s="7" t="str">
        <f>IF($A85="","",COUNTIFS(TikTok_Posts!A:A,$A85,TikTok_Posts!B:B,$B85))</f>
        <v/>
      </c>
      <c r="M85" s="7" t="str">
        <f>IF($A85="","",SUMIFS(TikTok_Posts!E:E,TikTok_Posts!A:A,$A85,TikTok_Posts!B:B,$B85))</f>
        <v/>
      </c>
      <c r="N85" s="7" t="str">
        <f>IF($A85="","",COUNTIFS(Instagram_Posts!A:A,$A85,Instagram_Posts!B:B,$B85))</f>
        <v/>
      </c>
      <c r="O85" s="7" t="str">
        <f>IF($A85="","",SUMIFS(Instagram_Posts!E:E,Instagram_Posts!A:A,$A85,Instagram_Posts!B:B,$B85))</f>
        <v/>
      </c>
      <c r="P85" s="7" t="str">
        <f>IF($A85="","",SUMIFS(Blog!E:E,Blog!B:B,$A85,Blog!C:C,$B85))</f>
        <v/>
      </c>
      <c r="Q85" s="7" t="str">
        <f>IF($A85="","",COUNTIFS(LinkedIn_Posts!A:A,$A85,LinkedIn_Posts!B:B,$B85))</f>
        <v/>
      </c>
      <c r="R85" s="7" t="str">
        <f>IF($A85="","",SUMIFS(LinkedIn_Posts!F:F,LinkedIn_Posts!A:A,$A85,LinkedIn_Posts!B:B,$B85))</f>
        <v/>
      </c>
      <c r="S85" s="7" t="str">
        <f>IF($A85="","",SUMIFS(LinkedIn_Posts!G:G,LinkedIn_Posts!A:A,$A85,LinkedIn_Posts!B:B,$B85))</f>
        <v/>
      </c>
      <c r="T85" s="7" t="str">
        <f>IF($A85="","",SUMIFS(LinkedIn_Posts!H:H,LinkedIn_Posts!A:A,$A85,LinkedIn_Posts!B:B,$B85))</f>
        <v/>
      </c>
      <c r="U85" s="7" t="str">
        <f>IF($A85="","",SUMIFS(LinkedIn_Posts!I:I,LinkedIn_Posts!A:A,$A85,LinkedIn_Posts!B:B,$B85))</f>
        <v/>
      </c>
    </row>
    <row r="86">
      <c r="A86" s="7" t="s">
        <v>47</v>
      </c>
      <c r="B86" s="7" t="s">
        <v>47</v>
      </c>
      <c r="C86" s="7" t="s">
        <v>47</v>
      </c>
      <c r="D86" s="7" t="str">
        <f>IF($A86="","",SUMIFS(YouTube_Long!G:G,YouTube_Long!A:A,$A86,YouTube_Long!B:B,$B86))</f>
        <v/>
      </c>
      <c r="E86" s="7" t="str">
        <f>IF($A86="","",SUMIFS(YouTube_Long!H:H,YouTube_Long!A:A,$A86,YouTube_Long!B:B,$B86))</f>
        <v/>
      </c>
      <c r="F86" s="7" t="str">
        <f>IF($A86="","",SUMIFS(YouTube_Long!I:I,YouTube_Long!A:A,$A86,YouTube_Long!B:B,$B86))</f>
        <v/>
      </c>
      <c r="G86" s="7" t="str">
        <f>IF($A86="","",COUNTIFS(YouTube_Shorts!A:A,$A86,YouTube_Shorts!B:B,$B86))</f>
        <v/>
      </c>
      <c r="H86" s="7" t="str">
        <f>IF($A86="","",SUMIFS(YouTube_Shorts!F:F,YouTube_Shorts!A:A,$A86,YouTube_Shorts!B:B,$B86))</f>
        <v/>
      </c>
      <c r="I86" s="7" t="str">
        <f>IF($A86="","",SUMIFS(YouTube_Shorts!G:G,YouTube_Shorts!A:A,$A86,YouTube_Shorts!B:B,$B86))</f>
        <v/>
      </c>
      <c r="J86" s="7" t="str">
        <f t="shared" si="1"/>
        <v/>
      </c>
      <c r="K86" s="7" t="str">
        <f>IF($A86="","",SUMIFS(Audio!D:D,Audio!A:A,$A86,Audio!B:B,$B86))</f>
        <v/>
      </c>
      <c r="L86" s="7" t="str">
        <f>IF($A86="","",COUNTIFS(TikTok_Posts!A:A,$A86,TikTok_Posts!B:B,$B86))</f>
        <v/>
      </c>
      <c r="M86" s="7" t="str">
        <f>IF($A86="","",SUMIFS(TikTok_Posts!E:E,TikTok_Posts!A:A,$A86,TikTok_Posts!B:B,$B86))</f>
        <v/>
      </c>
      <c r="N86" s="7" t="str">
        <f>IF($A86="","",COUNTIFS(Instagram_Posts!A:A,$A86,Instagram_Posts!B:B,$B86))</f>
        <v/>
      </c>
      <c r="O86" s="7" t="str">
        <f>IF($A86="","",SUMIFS(Instagram_Posts!E:E,Instagram_Posts!A:A,$A86,Instagram_Posts!B:B,$B86))</f>
        <v/>
      </c>
      <c r="P86" s="7" t="str">
        <f>IF($A86="","",SUMIFS(Blog!E:E,Blog!B:B,$A86,Blog!C:C,$B86))</f>
        <v/>
      </c>
      <c r="Q86" s="7" t="str">
        <f>IF($A86="","",COUNTIFS(LinkedIn_Posts!A:A,$A86,LinkedIn_Posts!B:B,$B86))</f>
        <v/>
      </c>
      <c r="R86" s="7" t="str">
        <f>IF($A86="","",SUMIFS(LinkedIn_Posts!F:F,LinkedIn_Posts!A:A,$A86,LinkedIn_Posts!B:B,$B86))</f>
        <v/>
      </c>
      <c r="S86" s="7" t="str">
        <f>IF($A86="","",SUMIFS(LinkedIn_Posts!G:G,LinkedIn_Posts!A:A,$A86,LinkedIn_Posts!B:B,$B86))</f>
        <v/>
      </c>
      <c r="T86" s="7" t="str">
        <f>IF($A86="","",SUMIFS(LinkedIn_Posts!H:H,LinkedIn_Posts!A:A,$A86,LinkedIn_Posts!B:B,$B86))</f>
        <v/>
      </c>
      <c r="U86" s="7" t="str">
        <f>IF($A86="","",SUMIFS(LinkedIn_Posts!I:I,LinkedIn_Posts!A:A,$A86,LinkedIn_Posts!B:B,$B86))</f>
        <v/>
      </c>
    </row>
    <row r="87">
      <c r="A87" s="7" t="s">
        <v>47</v>
      </c>
      <c r="B87" s="7" t="s">
        <v>47</v>
      </c>
      <c r="C87" s="7" t="s">
        <v>47</v>
      </c>
      <c r="D87" s="7" t="str">
        <f>IF($A87="","",SUMIFS(YouTube_Long!G:G,YouTube_Long!A:A,$A87,YouTube_Long!B:B,$B87))</f>
        <v/>
      </c>
      <c r="E87" s="7" t="str">
        <f>IF($A87="","",SUMIFS(YouTube_Long!H:H,YouTube_Long!A:A,$A87,YouTube_Long!B:B,$B87))</f>
        <v/>
      </c>
      <c r="F87" s="7" t="str">
        <f>IF($A87="","",SUMIFS(YouTube_Long!I:I,YouTube_Long!A:A,$A87,YouTube_Long!B:B,$B87))</f>
        <v/>
      </c>
      <c r="G87" s="7" t="str">
        <f>IF($A87="","",COUNTIFS(YouTube_Shorts!A:A,$A87,YouTube_Shorts!B:B,$B87))</f>
        <v/>
      </c>
      <c r="H87" s="7" t="str">
        <f>IF($A87="","",SUMIFS(YouTube_Shorts!F:F,YouTube_Shorts!A:A,$A87,YouTube_Shorts!B:B,$B87))</f>
        <v/>
      </c>
      <c r="I87" s="7" t="str">
        <f>IF($A87="","",SUMIFS(YouTube_Shorts!G:G,YouTube_Shorts!A:A,$A87,YouTube_Shorts!B:B,$B87))</f>
        <v/>
      </c>
      <c r="J87" s="7" t="str">
        <f t="shared" si="1"/>
        <v/>
      </c>
      <c r="K87" s="7" t="str">
        <f>IF($A87="","",SUMIFS(Audio!D:D,Audio!A:A,$A87,Audio!B:B,$B87))</f>
        <v/>
      </c>
      <c r="L87" s="7" t="str">
        <f>IF($A87="","",COUNTIFS(TikTok_Posts!A:A,$A87,TikTok_Posts!B:B,$B87))</f>
        <v/>
      </c>
      <c r="M87" s="7" t="str">
        <f>IF($A87="","",SUMIFS(TikTok_Posts!E:E,TikTok_Posts!A:A,$A87,TikTok_Posts!B:B,$B87))</f>
        <v/>
      </c>
      <c r="N87" s="7" t="str">
        <f>IF($A87="","",COUNTIFS(Instagram_Posts!A:A,$A87,Instagram_Posts!B:B,$B87))</f>
        <v/>
      </c>
      <c r="O87" s="7" t="str">
        <f>IF($A87="","",SUMIFS(Instagram_Posts!E:E,Instagram_Posts!A:A,$A87,Instagram_Posts!B:B,$B87))</f>
        <v/>
      </c>
      <c r="P87" s="7" t="str">
        <f>IF($A87="","",SUMIFS(Blog!E:E,Blog!B:B,$A87,Blog!C:C,$B87))</f>
        <v/>
      </c>
      <c r="Q87" s="7" t="str">
        <f>IF($A87="","",COUNTIFS(LinkedIn_Posts!A:A,$A87,LinkedIn_Posts!B:B,$B87))</f>
        <v/>
      </c>
      <c r="R87" s="7" t="str">
        <f>IF($A87="","",SUMIFS(LinkedIn_Posts!F:F,LinkedIn_Posts!A:A,$A87,LinkedIn_Posts!B:B,$B87))</f>
        <v/>
      </c>
      <c r="S87" s="7" t="str">
        <f>IF($A87="","",SUMIFS(LinkedIn_Posts!G:G,LinkedIn_Posts!A:A,$A87,LinkedIn_Posts!B:B,$B87))</f>
        <v/>
      </c>
      <c r="T87" s="7" t="str">
        <f>IF($A87="","",SUMIFS(LinkedIn_Posts!H:H,LinkedIn_Posts!A:A,$A87,LinkedIn_Posts!B:B,$B87))</f>
        <v/>
      </c>
      <c r="U87" s="7" t="str">
        <f>IF($A87="","",SUMIFS(LinkedIn_Posts!I:I,LinkedIn_Posts!A:A,$A87,LinkedIn_Posts!B:B,$B87))</f>
        <v/>
      </c>
    </row>
    <row r="88">
      <c r="A88" s="7" t="s">
        <v>47</v>
      </c>
      <c r="B88" s="7" t="s">
        <v>47</v>
      </c>
      <c r="C88" s="7" t="s">
        <v>47</v>
      </c>
      <c r="D88" s="7" t="str">
        <f>IF($A88="","",SUMIFS(YouTube_Long!G:G,YouTube_Long!A:A,$A88,YouTube_Long!B:B,$B88))</f>
        <v/>
      </c>
      <c r="E88" s="7" t="str">
        <f>IF($A88="","",SUMIFS(YouTube_Long!H:H,YouTube_Long!A:A,$A88,YouTube_Long!B:B,$B88))</f>
        <v/>
      </c>
      <c r="F88" s="7" t="str">
        <f>IF($A88="","",SUMIFS(YouTube_Long!I:I,YouTube_Long!A:A,$A88,YouTube_Long!B:B,$B88))</f>
        <v/>
      </c>
      <c r="G88" s="7" t="str">
        <f>IF($A88="","",COUNTIFS(YouTube_Shorts!A:A,$A88,YouTube_Shorts!B:B,$B88))</f>
        <v/>
      </c>
      <c r="H88" s="7" t="str">
        <f>IF($A88="","",SUMIFS(YouTube_Shorts!F:F,YouTube_Shorts!A:A,$A88,YouTube_Shorts!B:B,$B88))</f>
        <v/>
      </c>
      <c r="I88" s="7" t="str">
        <f>IF($A88="","",SUMIFS(YouTube_Shorts!G:G,YouTube_Shorts!A:A,$A88,YouTube_Shorts!B:B,$B88))</f>
        <v/>
      </c>
      <c r="J88" s="7" t="str">
        <f t="shared" si="1"/>
        <v/>
      </c>
      <c r="K88" s="7" t="str">
        <f>IF($A88="","",SUMIFS(Audio!D:D,Audio!A:A,$A88,Audio!B:B,$B88))</f>
        <v/>
      </c>
      <c r="L88" s="7" t="str">
        <f>IF($A88="","",COUNTIFS(TikTok_Posts!A:A,$A88,TikTok_Posts!B:B,$B88))</f>
        <v/>
      </c>
      <c r="M88" s="7" t="str">
        <f>IF($A88="","",SUMIFS(TikTok_Posts!E:E,TikTok_Posts!A:A,$A88,TikTok_Posts!B:B,$B88))</f>
        <v/>
      </c>
      <c r="N88" s="7" t="str">
        <f>IF($A88="","",COUNTIFS(Instagram_Posts!A:A,$A88,Instagram_Posts!B:B,$B88))</f>
        <v/>
      </c>
      <c r="O88" s="7" t="str">
        <f>IF($A88="","",SUMIFS(Instagram_Posts!E:E,Instagram_Posts!A:A,$A88,Instagram_Posts!B:B,$B88))</f>
        <v/>
      </c>
      <c r="P88" s="7" t="str">
        <f>IF($A88="","",SUMIFS(Blog!E:E,Blog!B:B,$A88,Blog!C:C,$B88))</f>
        <v/>
      </c>
      <c r="Q88" s="7" t="str">
        <f>IF($A88="","",COUNTIFS(LinkedIn_Posts!A:A,$A88,LinkedIn_Posts!B:B,$B88))</f>
        <v/>
      </c>
      <c r="R88" s="7" t="str">
        <f>IF($A88="","",SUMIFS(LinkedIn_Posts!F:F,LinkedIn_Posts!A:A,$A88,LinkedIn_Posts!B:B,$B88))</f>
        <v/>
      </c>
      <c r="S88" s="7" t="str">
        <f>IF($A88="","",SUMIFS(LinkedIn_Posts!G:G,LinkedIn_Posts!A:A,$A88,LinkedIn_Posts!B:B,$B88))</f>
        <v/>
      </c>
      <c r="T88" s="7" t="str">
        <f>IF($A88="","",SUMIFS(LinkedIn_Posts!H:H,LinkedIn_Posts!A:A,$A88,LinkedIn_Posts!B:B,$B88))</f>
        <v/>
      </c>
      <c r="U88" s="7" t="str">
        <f>IF($A88="","",SUMIFS(LinkedIn_Posts!I:I,LinkedIn_Posts!A:A,$A88,LinkedIn_Posts!B:B,$B88))</f>
        <v/>
      </c>
    </row>
    <row r="89">
      <c r="A89" s="7" t="s">
        <v>47</v>
      </c>
      <c r="B89" s="7" t="s">
        <v>47</v>
      </c>
      <c r="C89" s="7" t="s">
        <v>47</v>
      </c>
      <c r="D89" s="7" t="str">
        <f>IF($A89="","",SUMIFS(YouTube_Long!G:G,YouTube_Long!A:A,$A89,YouTube_Long!B:B,$B89))</f>
        <v/>
      </c>
      <c r="E89" s="7" t="str">
        <f>IF($A89="","",SUMIFS(YouTube_Long!H:H,YouTube_Long!A:A,$A89,YouTube_Long!B:B,$B89))</f>
        <v/>
      </c>
      <c r="F89" s="7" t="str">
        <f>IF($A89="","",SUMIFS(YouTube_Long!I:I,YouTube_Long!A:A,$A89,YouTube_Long!B:B,$B89))</f>
        <v/>
      </c>
      <c r="G89" s="7" t="str">
        <f>IF($A89="","",COUNTIFS(YouTube_Shorts!A:A,$A89,YouTube_Shorts!B:B,$B89))</f>
        <v/>
      </c>
      <c r="H89" s="7" t="str">
        <f>IF($A89="","",SUMIFS(YouTube_Shorts!F:F,YouTube_Shorts!A:A,$A89,YouTube_Shorts!B:B,$B89))</f>
        <v/>
      </c>
      <c r="I89" s="7" t="str">
        <f>IF($A89="","",SUMIFS(YouTube_Shorts!G:G,YouTube_Shorts!A:A,$A89,YouTube_Shorts!B:B,$B89))</f>
        <v/>
      </c>
      <c r="J89" s="7" t="str">
        <f t="shared" si="1"/>
        <v/>
      </c>
      <c r="K89" s="7" t="str">
        <f>IF($A89="","",SUMIFS(Audio!D:D,Audio!A:A,$A89,Audio!B:B,$B89))</f>
        <v/>
      </c>
      <c r="L89" s="7" t="str">
        <f>IF($A89="","",COUNTIFS(TikTok_Posts!A:A,$A89,TikTok_Posts!B:B,$B89))</f>
        <v/>
      </c>
      <c r="M89" s="7" t="str">
        <f>IF($A89="","",SUMIFS(TikTok_Posts!E:E,TikTok_Posts!A:A,$A89,TikTok_Posts!B:B,$B89))</f>
        <v/>
      </c>
      <c r="N89" s="7" t="str">
        <f>IF($A89="","",COUNTIFS(Instagram_Posts!A:A,$A89,Instagram_Posts!B:B,$B89))</f>
        <v/>
      </c>
      <c r="O89" s="7" t="str">
        <f>IF($A89="","",SUMIFS(Instagram_Posts!E:E,Instagram_Posts!A:A,$A89,Instagram_Posts!B:B,$B89))</f>
        <v/>
      </c>
      <c r="P89" s="7" t="str">
        <f>IF($A89="","",SUMIFS(Blog!E:E,Blog!B:B,$A89,Blog!C:C,$B89))</f>
        <v/>
      </c>
      <c r="Q89" s="7" t="str">
        <f>IF($A89="","",COUNTIFS(LinkedIn_Posts!A:A,$A89,LinkedIn_Posts!B:B,$B89))</f>
        <v/>
      </c>
      <c r="R89" s="7" t="str">
        <f>IF($A89="","",SUMIFS(LinkedIn_Posts!F:F,LinkedIn_Posts!A:A,$A89,LinkedIn_Posts!B:B,$B89))</f>
        <v/>
      </c>
      <c r="S89" s="7" t="str">
        <f>IF($A89="","",SUMIFS(LinkedIn_Posts!G:G,LinkedIn_Posts!A:A,$A89,LinkedIn_Posts!B:B,$B89))</f>
        <v/>
      </c>
      <c r="T89" s="7" t="str">
        <f>IF($A89="","",SUMIFS(LinkedIn_Posts!H:H,LinkedIn_Posts!A:A,$A89,LinkedIn_Posts!B:B,$B89))</f>
        <v/>
      </c>
      <c r="U89" s="7" t="str">
        <f>IF($A89="","",SUMIFS(LinkedIn_Posts!I:I,LinkedIn_Posts!A:A,$A89,LinkedIn_Posts!B:B,$B89))</f>
        <v/>
      </c>
    </row>
    <row r="90">
      <c r="A90" s="7" t="s">
        <v>47</v>
      </c>
      <c r="B90" s="7" t="s">
        <v>47</v>
      </c>
      <c r="C90" s="7" t="s">
        <v>47</v>
      </c>
      <c r="D90" s="7" t="str">
        <f>IF($A90="","",SUMIFS(YouTube_Long!G:G,YouTube_Long!A:A,$A90,YouTube_Long!B:B,$B90))</f>
        <v/>
      </c>
      <c r="E90" s="7" t="str">
        <f>IF($A90="","",SUMIFS(YouTube_Long!H:H,YouTube_Long!A:A,$A90,YouTube_Long!B:B,$B90))</f>
        <v/>
      </c>
      <c r="F90" s="7" t="str">
        <f>IF($A90="","",SUMIFS(YouTube_Long!I:I,YouTube_Long!A:A,$A90,YouTube_Long!B:B,$B90))</f>
        <v/>
      </c>
      <c r="G90" s="7" t="str">
        <f>IF($A90="","",COUNTIFS(YouTube_Shorts!A:A,$A90,YouTube_Shorts!B:B,$B90))</f>
        <v/>
      </c>
      <c r="H90" s="7" t="str">
        <f>IF($A90="","",SUMIFS(YouTube_Shorts!F:F,YouTube_Shorts!A:A,$A90,YouTube_Shorts!B:B,$B90))</f>
        <v/>
      </c>
      <c r="I90" s="7" t="str">
        <f>IF($A90="","",SUMIFS(YouTube_Shorts!G:G,YouTube_Shorts!A:A,$A90,YouTube_Shorts!B:B,$B90))</f>
        <v/>
      </c>
      <c r="J90" s="7" t="str">
        <f t="shared" si="1"/>
        <v/>
      </c>
      <c r="K90" s="7" t="str">
        <f>IF($A90="","",SUMIFS(Audio!D:D,Audio!A:A,$A90,Audio!B:B,$B90))</f>
        <v/>
      </c>
      <c r="L90" s="7" t="str">
        <f>IF($A90="","",COUNTIFS(TikTok_Posts!A:A,$A90,TikTok_Posts!B:B,$B90))</f>
        <v/>
      </c>
      <c r="M90" s="7" t="str">
        <f>IF($A90="","",SUMIFS(TikTok_Posts!E:E,TikTok_Posts!A:A,$A90,TikTok_Posts!B:B,$B90))</f>
        <v/>
      </c>
      <c r="N90" s="7" t="str">
        <f>IF($A90="","",COUNTIFS(Instagram_Posts!A:A,$A90,Instagram_Posts!B:B,$B90))</f>
        <v/>
      </c>
      <c r="O90" s="7" t="str">
        <f>IF($A90="","",SUMIFS(Instagram_Posts!E:E,Instagram_Posts!A:A,$A90,Instagram_Posts!B:B,$B90))</f>
        <v/>
      </c>
      <c r="P90" s="7" t="str">
        <f>IF($A90="","",SUMIFS(Blog!E:E,Blog!B:B,$A90,Blog!C:C,$B90))</f>
        <v/>
      </c>
      <c r="Q90" s="7" t="str">
        <f>IF($A90="","",COUNTIFS(LinkedIn_Posts!A:A,$A90,LinkedIn_Posts!B:B,$B90))</f>
        <v/>
      </c>
      <c r="R90" s="7" t="str">
        <f>IF($A90="","",SUMIFS(LinkedIn_Posts!F:F,LinkedIn_Posts!A:A,$A90,LinkedIn_Posts!B:B,$B90))</f>
        <v/>
      </c>
      <c r="S90" s="7" t="str">
        <f>IF($A90="","",SUMIFS(LinkedIn_Posts!G:G,LinkedIn_Posts!A:A,$A90,LinkedIn_Posts!B:B,$B90))</f>
        <v/>
      </c>
      <c r="T90" s="7" t="str">
        <f>IF($A90="","",SUMIFS(LinkedIn_Posts!H:H,LinkedIn_Posts!A:A,$A90,LinkedIn_Posts!B:B,$B90))</f>
        <v/>
      </c>
      <c r="U90" s="7" t="str">
        <f>IF($A90="","",SUMIFS(LinkedIn_Posts!I:I,LinkedIn_Posts!A:A,$A90,LinkedIn_Posts!B:B,$B90))</f>
        <v/>
      </c>
    </row>
    <row r="91">
      <c r="A91" s="7" t="s">
        <v>47</v>
      </c>
      <c r="B91" s="7" t="s">
        <v>47</v>
      </c>
      <c r="C91" s="7" t="s">
        <v>47</v>
      </c>
      <c r="D91" s="7" t="str">
        <f>IF($A91="","",SUMIFS(YouTube_Long!G:G,YouTube_Long!A:A,$A91,YouTube_Long!B:B,$B91))</f>
        <v/>
      </c>
      <c r="E91" s="7" t="str">
        <f>IF($A91="","",SUMIFS(YouTube_Long!H:H,YouTube_Long!A:A,$A91,YouTube_Long!B:B,$B91))</f>
        <v/>
      </c>
      <c r="F91" s="7" t="str">
        <f>IF($A91="","",SUMIFS(YouTube_Long!I:I,YouTube_Long!A:A,$A91,YouTube_Long!B:B,$B91))</f>
        <v/>
      </c>
      <c r="G91" s="7" t="str">
        <f>IF($A91="","",COUNTIFS(YouTube_Shorts!A:A,$A91,YouTube_Shorts!B:B,$B91))</f>
        <v/>
      </c>
      <c r="H91" s="7" t="str">
        <f>IF($A91="","",SUMIFS(YouTube_Shorts!F:F,YouTube_Shorts!A:A,$A91,YouTube_Shorts!B:B,$B91))</f>
        <v/>
      </c>
      <c r="I91" s="7" t="str">
        <f>IF($A91="","",SUMIFS(YouTube_Shorts!G:G,YouTube_Shorts!A:A,$A91,YouTube_Shorts!B:B,$B91))</f>
        <v/>
      </c>
      <c r="J91" s="7" t="str">
        <f t="shared" si="1"/>
        <v/>
      </c>
      <c r="K91" s="7" t="str">
        <f>IF($A91="","",SUMIFS(Audio!D:D,Audio!A:A,$A91,Audio!B:B,$B91))</f>
        <v/>
      </c>
      <c r="L91" s="7" t="str">
        <f>IF($A91="","",COUNTIFS(TikTok_Posts!A:A,$A91,TikTok_Posts!B:B,$B91))</f>
        <v/>
      </c>
      <c r="M91" s="7" t="str">
        <f>IF($A91="","",SUMIFS(TikTok_Posts!E:E,TikTok_Posts!A:A,$A91,TikTok_Posts!B:B,$B91))</f>
        <v/>
      </c>
      <c r="N91" s="7" t="str">
        <f>IF($A91="","",COUNTIFS(Instagram_Posts!A:A,$A91,Instagram_Posts!B:B,$B91))</f>
        <v/>
      </c>
      <c r="O91" s="7" t="str">
        <f>IF($A91="","",SUMIFS(Instagram_Posts!E:E,Instagram_Posts!A:A,$A91,Instagram_Posts!B:B,$B91))</f>
        <v/>
      </c>
      <c r="P91" s="7" t="str">
        <f>IF($A91="","",SUMIFS(Blog!E:E,Blog!B:B,$A91,Blog!C:C,$B91))</f>
        <v/>
      </c>
      <c r="Q91" s="7" t="str">
        <f>IF($A91="","",COUNTIFS(LinkedIn_Posts!A:A,$A91,LinkedIn_Posts!B:B,$B91))</f>
        <v/>
      </c>
      <c r="R91" s="7" t="str">
        <f>IF($A91="","",SUMIFS(LinkedIn_Posts!F:F,LinkedIn_Posts!A:A,$A91,LinkedIn_Posts!B:B,$B91))</f>
        <v/>
      </c>
      <c r="S91" s="7" t="str">
        <f>IF($A91="","",SUMIFS(LinkedIn_Posts!G:G,LinkedIn_Posts!A:A,$A91,LinkedIn_Posts!B:B,$B91))</f>
        <v/>
      </c>
      <c r="T91" s="7" t="str">
        <f>IF($A91="","",SUMIFS(LinkedIn_Posts!H:H,LinkedIn_Posts!A:A,$A91,LinkedIn_Posts!B:B,$B91))</f>
        <v/>
      </c>
      <c r="U91" s="7" t="str">
        <f>IF($A91="","",SUMIFS(LinkedIn_Posts!I:I,LinkedIn_Posts!A:A,$A91,LinkedIn_Posts!B:B,$B91))</f>
        <v/>
      </c>
    </row>
    <row r="92">
      <c r="A92" s="7" t="s">
        <v>47</v>
      </c>
      <c r="B92" s="7" t="s">
        <v>47</v>
      </c>
      <c r="C92" s="7" t="s">
        <v>47</v>
      </c>
      <c r="D92" s="7" t="str">
        <f>IF($A92="","",SUMIFS(YouTube_Long!G:G,YouTube_Long!A:A,$A92,YouTube_Long!B:B,$B92))</f>
        <v/>
      </c>
      <c r="E92" s="7" t="str">
        <f>IF($A92="","",SUMIFS(YouTube_Long!H:H,YouTube_Long!A:A,$A92,YouTube_Long!B:B,$B92))</f>
        <v/>
      </c>
      <c r="F92" s="7" t="str">
        <f>IF($A92="","",SUMIFS(YouTube_Long!I:I,YouTube_Long!A:A,$A92,YouTube_Long!B:B,$B92))</f>
        <v/>
      </c>
      <c r="G92" s="7" t="str">
        <f>IF($A92="","",COUNTIFS(YouTube_Shorts!A:A,$A92,YouTube_Shorts!B:B,$B92))</f>
        <v/>
      </c>
      <c r="H92" s="7" t="str">
        <f>IF($A92="","",SUMIFS(YouTube_Shorts!F:F,YouTube_Shorts!A:A,$A92,YouTube_Shorts!B:B,$B92))</f>
        <v/>
      </c>
      <c r="I92" s="7" t="str">
        <f>IF($A92="","",SUMIFS(YouTube_Shorts!G:G,YouTube_Shorts!A:A,$A92,YouTube_Shorts!B:B,$B92))</f>
        <v/>
      </c>
      <c r="J92" s="7" t="str">
        <f t="shared" si="1"/>
        <v/>
      </c>
      <c r="K92" s="7" t="str">
        <f>IF($A92="","",SUMIFS(Audio!D:D,Audio!A:A,$A92,Audio!B:B,$B92))</f>
        <v/>
      </c>
      <c r="L92" s="7" t="str">
        <f>IF($A92="","",COUNTIFS(TikTok_Posts!A:A,$A92,TikTok_Posts!B:B,$B92))</f>
        <v/>
      </c>
      <c r="M92" s="7" t="str">
        <f>IF($A92="","",SUMIFS(TikTok_Posts!E:E,TikTok_Posts!A:A,$A92,TikTok_Posts!B:B,$B92))</f>
        <v/>
      </c>
      <c r="N92" s="7" t="str">
        <f>IF($A92="","",COUNTIFS(Instagram_Posts!A:A,$A92,Instagram_Posts!B:B,$B92))</f>
        <v/>
      </c>
      <c r="O92" s="7" t="str">
        <f>IF($A92="","",SUMIFS(Instagram_Posts!E:E,Instagram_Posts!A:A,$A92,Instagram_Posts!B:B,$B92))</f>
        <v/>
      </c>
      <c r="P92" s="7" t="str">
        <f>IF($A92="","",SUMIFS(Blog!E:E,Blog!B:B,$A92,Blog!C:C,$B92))</f>
        <v/>
      </c>
      <c r="Q92" s="7" t="str">
        <f>IF($A92="","",COUNTIFS(LinkedIn_Posts!A:A,$A92,LinkedIn_Posts!B:B,$B92))</f>
        <v/>
      </c>
      <c r="R92" s="7" t="str">
        <f>IF($A92="","",SUMIFS(LinkedIn_Posts!F:F,LinkedIn_Posts!A:A,$A92,LinkedIn_Posts!B:B,$B92))</f>
        <v/>
      </c>
      <c r="S92" s="7" t="str">
        <f>IF($A92="","",SUMIFS(LinkedIn_Posts!G:G,LinkedIn_Posts!A:A,$A92,LinkedIn_Posts!B:B,$B92))</f>
        <v/>
      </c>
      <c r="T92" s="7" t="str">
        <f>IF($A92="","",SUMIFS(LinkedIn_Posts!H:H,LinkedIn_Posts!A:A,$A92,LinkedIn_Posts!B:B,$B92))</f>
        <v/>
      </c>
      <c r="U92" s="7" t="str">
        <f>IF($A92="","",SUMIFS(LinkedIn_Posts!I:I,LinkedIn_Posts!A:A,$A92,LinkedIn_Posts!B:B,$B92))</f>
        <v/>
      </c>
    </row>
    <row r="93">
      <c r="A93" s="7" t="s">
        <v>47</v>
      </c>
      <c r="B93" s="7" t="s">
        <v>47</v>
      </c>
      <c r="C93" s="7" t="s">
        <v>47</v>
      </c>
      <c r="D93" s="7" t="str">
        <f>IF($A93="","",SUMIFS(YouTube_Long!G:G,YouTube_Long!A:A,$A93,YouTube_Long!B:B,$B93))</f>
        <v/>
      </c>
      <c r="E93" s="7" t="str">
        <f>IF($A93="","",SUMIFS(YouTube_Long!H:H,YouTube_Long!A:A,$A93,YouTube_Long!B:B,$B93))</f>
        <v/>
      </c>
      <c r="F93" s="7" t="str">
        <f>IF($A93="","",SUMIFS(YouTube_Long!I:I,YouTube_Long!A:A,$A93,YouTube_Long!B:B,$B93))</f>
        <v/>
      </c>
      <c r="G93" s="7" t="str">
        <f>IF($A93="","",COUNTIFS(YouTube_Shorts!A:A,$A93,YouTube_Shorts!B:B,$B93))</f>
        <v/>
      </c>
      <c r="H93" s="7" t="str">
        <f>IF($A93="","",SUMIFS(YouTube_Shorts!F:F,YouTube_Shorts!A:A,$A93,YouTube_Shorts!B:B,$B93))</f>
        <v/>
      </c>
      <c r="I93" s="7" t="str">
        <f>IF($A93="","",SUMIFS(YouTube_Shorts!G:G,YouTube_Shorts!A:A,$A93,YouTube_Shorts!B:B,$B93))</f>
        <v/>
      </c>
      <c r="J93" s="7" t="str">
        <f t="shared" si="1"/>
        <v/>
      </c>
      <c r="K93" s="7" t="str">
        <f>IF($A93="","",SUMIFS(Audio!D:D,Audio!A:A,$A93,Audio!B:B,$B93))</f>
        <v/>
      </c>
      <c r="L93" s="7" t="str">
        <f>IF($A93="","",COUNTIFS(TikTok_Posts!A:A,$A93,TikTok_Posts!B:B,$B93))</f>
        <v/>
      </c>
      <c r="M93" s="7" t="str">
        <f>IF($A93="","",SUMIFS(TikTok_Posts!E:E,TikTok_Posts!A:A,$A93,TikTok_Posts!B:B,$B93))</f>
        <v/>
      </c>
      <c r="N93" s="7" t="str">
        <f>IF($A93="","",COUNTIFS(Instagram_Posts!A:A,$A93,Instagram_Posts!B:B,$B93))</f>
        <v/>
      </c>
      <c r="O93" s="7" t="str">
        <f>IF($A93="","",SUMIFS(Instagram_Posts!E:E,Instagram_Posts!A:A,$A93,Instagram_Posts!B:B,$B93))</f>
        <v/>
      </c>
      <c r="P93" s="7" t="str">
        <f>IF($A93="","",SUMIFS(Blog!E:E,Blog!B:B,$A93,Blog!C:C,$B93))</f>
        <v/>
      </c>
      <c r="Q93" s="7" t="str">
        <f>IF($A93="","",COUNTIFS(LinkedIn_Posts!A:A,$A93,LinkedIn_Posts!B:B,$B93))</f>
        <v/>
      </c>
      <c r="R93" s="7" t="str">
        <f>IF($A93="","",SUMIFS(LinkedIn_Posts!F:F,LinkedIn_Posts!A:A,$A93,LinkedIn_Posts!B:B,$B93))</f>
        <v/>
      </c>
      <c r="S93" s="7" t="str">
        <f>IF($A93="","",SUMIFS(LinkedIn_Posts!G:G,LinkedIn_Posts!A:A,$A93,LinkedIn_Posts!B:B,$B93))</f>
        <v/>
      </c>
      <c r="T93" s="7" t="str">
        <f>IF($A93="","",SUMIFS(LinkedIn_Posts!H:H,LinkedIn_Posts!A:A,$A93,LinkedIn_Posts!B:B,$B93))</f>
        <v/>
      </c>
      <c r="U93" s="7" t="str">
        <f>IF($A93="","",SUMIFS(LinkedIn_Posts!I:I,LinkedIn_Posts!A:A,$A93,LinkedIn_Posts!B:B,$B93))</f>
        <v/>
      </c>
    </row>
    <row r="94">
      <c r="A94" s="7" t="s">
        <v>47</v>
      </c>
      <c r="B94" s="7" t="s">
        <v>47</v>
      </c>
      <c r="C94" s="7" t="s">
        <v>47</v>
      </c>
      <c r="D94" s="7" t="str">
        <f>IF($A94="","",SUMIFS(YouTube_Long!G:G,YouTube_Long!A:A,$A94,YouTube_Long!B:B,$B94))</f>
        <v/>
      </c>
      <c r="E94" s="7" t="str">
        <f>IF($A94="","",SUMIFS(YouTube_Long!H:H,YouTube_Long!A:A,$A94,YouTube_Long!B:B,$B94))</f>
        <v/>
      </c>
      <c r="F94" s="7" t="str">
        <f>IF($A94="","",SUMIFS(YouTube_Long!I:I,YouTube_Long!A:A,$A94,YouTube_Long!B:B,$B94))</f>
        <v/>
      </c>
      <c r="G94" s="7" t="str">
        <f>IF($A94="","",COUNTIFS(YouTube_Shorts!A:A,$A94,YouTube_Shorts!B:B,$B94))</f>
        <v/>
      </c>
      <c r="H94" s="7" t="str">
        <f>IF($A94="","",SUMIFS(YouTube_Shorts!F:F,YouTube_Shorts!A:A,$A94,YouTube_Shorts!B:B,$B94))</f>
        <v/>
      </c>
      <c r="I94" s="7" t="str">
        <f>IF($A94="","",SUMIFS(YouTube_Shorts!G:G,YouTube_Shorts!A:A,$A94,YouTube_Shorts!B:B,$B94))</f>
        <v/>
      </c>
      <c r="J94" s="7" t="str">
        <f t="shared" si="1"/>
        <v/>
      </c>
      <c r="K94" s="7" t="str">
        <f>IF($A94="","",SUMIFS(Audio!D:D,Audio!A:A,$A94,Audio!B:B,$B94))</f>
        <v/>
      </c>
      <c r="L94" s="7" t="str">
        <f>IF($A94="","",COUNTIFS(TikTok_Posts!A:A,$A94,TikTok_Posts!B:B,$B94))</f>
        <v/>
      </c>
      <c r="M94" s="7" t="str">
        <f>IF($A94="","",SUMIFS(TikTok_Posts!E:E,TikTok_Posts!A:A,$A94,TikTok_Posts!B:B,$B94))</f>
        <v/>
      </c>
      <c r="N94" s="7" t="str">
        <f>IF($A94="","",COUNTIFS(Instagram_Posts!A:A,$A94,Instagram_Posts!B:B,$B94))</f>
        <v/>
      </c>
      <c r="O94" s="7" t="str">
        <f>IF($A94="","",SUMIFS(Instagram_Posts!E:E,Instagram_Posts!A:A,$A94,Instagram_Posts!B:B,$B94))</f>
        <v/>
      </c>
      <c r="P94" s="7" t="str">
        <f>IF($A94="","",SUMIFS(Blog!E:E,Blog!B:B,$A94,Blog!C:C,$B94))</f>
        <v/>
      </c>
      <c r="Q94" s="7" t="str">
        <f>IF($A94="","",COUNTIFS(LinkedIn_Posts!A:A,$A94,LinkedIn_Posts!B:B,$B94))</f>
        <v/>
      </c>
      <c r="R94" s="7" t="str">
        <f>IF($A94="","",SUMIFS(LinkedIn_Posts!F:F,LinkedIn_Posts!A:A,$A94,LinkedIn_Posts!B:B,$B94))</f>
        <v/>
      </c>
      <c r="S94" s="7" t="str">
        <f>IF($A94="","",SUMIFS(LinkedIn_Posts!G:G,LinkedIn_Posts!A:A,$A94,LinkedIn_Posts!B:B,$B94))</f>
        <v/>
      </c>
      <c r="T94" s="7" t="str">
        <f>IF($A94="","",SUMIFS(LinkedIn_Posts!H:H,LinkedIn_Posts!A:A,$A94,LinkedIn_Posts!B:B,$B94))</f>
        <v/>
      </c>
      <c r="U94" s="7" t="str">
        <f>IF($A94="","",SUMIFS(LinkedIn_Posts!I:I,LinkedIn_Posts!A:A,$A94,LinkedIn_Posts!B:B,$B94))</f>
        <v/>
      </c>
    </row>
    <row r="95">
      <c r="A95" s="7" t="s">
        <v>47</v>
      </c>
      <c r="B95" s="7" t="s">
        <v>47</v>
      </c>
      <c r="C95" s="7" t="s">
        <v>47</v>
      </c>
      <c r="D95" s="7" t="str">
        <f>IF($A95="","",SUMIFS(YouTube_Long!G:G,YouTube_Long!A:A,$A95,YouTube_Long!B:B,$B95))</f>
        <v/>
      </c>
      <c r="E95" s="7" t="str">
        <f>IF($A95="","",SUMIFS(YouTube_Long!H:H,YouTube_Long!A:A,$A95,YouTube_Long!B:B,$B95))</f>
        <v/>
      </c>
      <c r="F95" s="7" t="str">
        <f>IF($A95="","",SUMIFS(YouTube_Long!I:I,YouTube_Long!A:A,$A95,YouTube_Long!B:B,$B95))</f>
        <v/>
      </c>
      <c r="G95" s="7" t="str">
        <f>IF($A95="","",COUNTIFS(YouTube_Shorts!A:A,$A95,YouTube_Shorts!B:B,$B95))</f>
        <v/>
      </c>
      <c r="H95" s="7" t="str">
        <f>IF($A95="","",SUMIFS(YouTube_Shorts!F:F,YouTube_Shorts!A:A,$A95,YouTube_Shorts!B:B,$B95))</f>
        <v/>
      </c>
      <c r="I95" s="7" t="str">
        <f>IF($A95="","",SUMIFS(YouTube_Shorts!G:G,YouTube_Shorts!A:A,$A95,YouTube_Shorts!B:B,$B95))</f>
        <v/>
      </c>
      <c r="J95" s="7" t="str">
        <f t="shared" si="1"/>
        <v/>
      </c>
      <c r="K95" s="7" t="str">
        <f>IF($A95="","",SUMIFS(Audio!D:D,Audio!A:A,$A95,Audio!B:B,$B95))</f>
        <v/>
      </c>
      <c r="L95" s="7" t="str">
        <f>IF($A95="","",COUNTIFS(TikTok_Posts!A:A,$A95,TikTok_Posts!B:B,$B95))</f>
        <v/>
      </c>
      <c r="M95" s="7" t="str">
        <f>IF($A95="","",SUMIFS(TikTok_Posts!E:E,TikTok_Posts!A:A,$A95,TikTok_Posts!B:B,$B95))</f>
        <v/>
      </c>
      <c r="N95" s="7" t="str">
        <f>IF($A95="","",COUNTIFS(Instagram_Posts!A:A,$A95,Instagram_Posts!B:B,$B95))</f>
        <v/>
      </c>
      <c r="O95" s="7" t="str">
        <f>IF($A95="","",SUMIFS(Instagram_Posts!E:E,Instagram_Posts!A:A,$A95,Instagram_Posts!B:B,$B95))</f>
        <v/>
      </c>
      <c r="P95" s="7" t="str">
        <f>IF($A95="","",SUMIFS(Blog!E:E,Blog!B:B,$A95,Blog!C:C,$B95))</f>
        <v/>
      </c>
      <c r="Q95" s="7" t="str">
        <f>IF($A95="","",COUNTIFS(LinkedIn_Posts!A:A,$A95,LinkedIn_Posts!B:B,$B95))</f>
        <v/>
      </c>
      <c r="R95" s="7" t="str">
        <f>IF($A95="","",SUMIFS(LinkedIn_Posts!F:F,LinkedIn_Posts!A:A,$A95,LinkedIn_Posts!B:B,$B95))</f>
        <v/>
      </c>
      <c r="S95" s="7" t="str">
        <f>IF($A95="","",SUMIFS(LinkedIn_Posts!G:G,LinkedIn_Posts!A:A,$A95,LinkedIn_Posts!B:B,$B95))</f>
        <v/>
      </c>
      <c r="T95" s="7" t="str">
        <f>IF($A95="","",SUMIFS(LinkedIn_Posts!H:H,LinkedIn_Posts!A:A,$A95,LinkedIn_Posts!B:B,$B95))</f>
        <v/>
      </c>
      <c r="U95" s="7" t="str">
        <f>IF($A95="","",SUMIFS(LinkedIn_Posts!I:I,LinkedIn_Posts!A:A,$A95,LinkedIn_Posts!B:B,$B95))</f>
        <v/>
      </c>
    </row>
    <row r="96">
      <c r="A96" s="7" t="s">
        <v>47</v>
      </c>
      <c r="B96" s="7" t="s">
        <v>47</v>
      </c>
      <c r="C96" s="7" t="s">
        <v>47</v>
      </c>
      <c r="D96" s="7" t="str">
        <f>IF($A96="","",SUMIFS(YouTube_Long!G:G,YouTube_Long!A:A,$A96,YouTube_Long!B:B,$B96))</f>
        <v/>
      </c>
      <c r="E96" s="7" t="str">
        <f>IF($A96="","",SUMIFS(YouTube_Long!H:H,YouTube_Long!A:A,$A96,YouTube_Long!B:B,$B96))</f>
        <v/>
      </c>
      <c r="F96" s="7" t="str">
        <f>IF($A96="","",SUMIFS(YouTube_Long!I:I,YouTube_Long!A:A,$A96,YouTube_Long!B:B,$B96))</f>
        <v/>
      </c>
      <c r="G96" s="7" t="str">
        <f>IF($A96="","",COUNTIFS(YouTube_Shorts!A:A,$A96,YouTube_Shorts!B:B,$B96))</f>
        <v/>
      </c>
      <c r="H96" s="7" t="str">
        <f>IF($A96="","",SUMIFS(YouTube_Shorts!F:F,YouTube_Shorts!A:A,$A96,YouTube_Shorts!B:B,$B96))</f>
        <v/>
      </c>
      <c r="I96" s="7" t="str">
        <f>IF($A96="","",SUMIFS(YouTube_Shorts!G:G,YouTube_Shorts!A:A,$A96,YouTube_Shorts!B:B,$B96))</f>
        <v/>
      </c>
      <c r="J96" s="7" t="str">
        <f t="shared" si="1"/>
        <v/>
      </c>
      <c r="K96" s="7" t="str">
        <f>IF($A96="","",SUMIFS(Audio!D:D,Audio!A:A,$A96,Audio!B:B,$B96))</f>
        <v/>
      </c>
      <c r="L96" s="7" t="str">
        <f>IF($A96="","",COUNTIFS(TikTok_Posts!A:A,$A96,TikTok_Posts!B:B,$B96))</f>
        <v/>
      </c>
      <c r="M96" s="7" t="str">
        <f>IF($A96="","",SUMIFS(TikTok_Posts!E:E,TikTok_Posts!A:A,$A96,TikTok_Posts!B:B,$B96))</f>
        <v/>
      </c>
      <c r="N96" s="7" t="str">
        <f>IF($A96="","",COUNTIFS(Instagram_Posts!A:A,$A96,Instagram_Posts!B:B,$B96))</f>
        <v/>
      </c>
      <c r="O96" s="7" t="str">
        <f>IF($A96="","",SUMIFS(Instagram_Posts!E:E,Instagram_Posts!A:A,$A96,Instagram_Posts!B:B,$B96))</f>
        <v/>
      </c>
      <c r="P96" s="7" t="str">
        <f>IF($A96="","",SUMIFS(Blog!E:E,Blog!B:B,$A96,Blog!C:C,$B96))</f>
        <v/>
      </c>
      <c r="Q96" s="7" t="str">
        <f>IF($A96="","",COUNTIFS(LinkedIn_Posts!A:A,$A96,LinkedIn_Posts!B:B,$B96))</f>
        <v/>
      </c>
      <c r="R96" s="7" t="str">
        <f>IF($A96="","",SUMIFS(LinkedIn_Posts!F:F,LinkedIn_Posts!A:A,$A96,LinkedIn_Posts!B:B,$B96))</f>
        <v/>
      </c>
      <c r="S96" s="7" t="str">
        <f>IF($A96="","",SUMIFS(LinkedIn_Posts!G:G,LinkedIn_Posts!A:A,$A96,LinkedIn_Posts!B:B,$B96))</f>
        <v/>
      </c>
      <c r="T96" s="7" t="str">
        <f>IF($A96="","",SUMIFS(LinkedIn_Posts!H:H,LinkedIn_Posts!A:A,$A96,LinkedIn_Posts!B:B,$B96))</f>
        <v/>
      </c>
      <c r="U96" s="7" t="str">
        <f>IF($A96="","",SUMIFS(LinkedIn_Posts!I:I,LinkedIn_Posts!A:A,$A96,LinkedIn_Posts!B:B,$B96))</f>
        <v/>
      </c>
    </row>
    <row r="97">
      <c r="A97" s="7" t="s">
        <v>47</v>
      </c>
      <c r="B97" s="7" t="s">
        <v>47</v>
      </c>
      <c r="C97" s="7" t="s">
        <v>47</v>
      </c>
      <c r="D97" s="7" t="str">
        <f>IF($A97="","",SUMIFS(YouTube_Long!G:G,YouTube_Long!A:A,$A97,YouTube_Long!B:B,$B97))</f>
        <v/>
      </c>
      <c r="E97" s="7" t="str">
        <f>IF($A97="","",SUMIFS(YouTube_Long!H:H,YouTube_Long!A:A,$A97,YouTube_Long!B:B,$B97))</f>
        <v/>
      </c>
      <c r="F97" s="7" t="str">
        <f>IF($A97="","",SUMIFS(YouTube_Long!I:I,YouTube_Long!A:A,$A97,YouTube_Long!B:B,$B97))</f>
        <v/>
      </c>
      <c r="G97" s="7" t="str">
        <f>IF($A97="","",COUNTIFS(YouTube_Shorts!A:A,$A97,YouTube_Shorts!B:B,$B97))</f>
        <v/>
      </c>
      <c r="H97" s="7" t="str">
        <f>IF($A97="","",SUMIFS(YouTube_Shorts!F:F,YouTube_Shorts!A:A,$A97,YouTube_Shorts!B:B,$B97))</f>
        <v/>
      </c>
      <c r="I97" s="7" t="str">
        <f>IF($A97="","",SUMIFS(YouTube_Shorts!G:G,YouTube_Shorts!A:A,$A97,YouTube_Shorts!B:B,$B97))</f>
        <v/>
      </c>
      <c r="J97" s="7" t="str">
        <f t="shared" si="1"/>
        <v/>
      </c>
      <c r="K97" s="7" t="str">
        <f>IF($A97="","",SUMIFS(Audio!D:D,Audio!A:A,$A97,Audio!B:B,$B97))</f>
        <v/>
      </c>
      <c r="L97" s="7" t="str">
        <f>IF($A97="","",COUNTIFS(TikTok_Posts!A:A,$A97,TikTok_Posts!B:B,$B97))</f>
        <v/>
      </c>
      <c r="M97" s="7" t="str">
        <f>IF($A97="","",SUMIFS(TikTok_Posts!E:E,TikTok_Posts!A:A,$A97,TikTok_Posts!B:B,$B97))</f>
        <v/>
      </c>
      <c r="N97" s="7" t="str">
        <f>IF($A97="","",COUNTIFS(Instagram_Posts!A:A,$A97,Instagram_Posts!B:B,$B97))</f>
        <v/>
      </c>
      <c r="O97" s="7" t="str">
        <f>IF($A97="","",SUMIFS(Instagram_Posts!E:E,Instagram_Posts!A:A,$A97,Instagram_Posts!B:B,$B97))</f>
        <v/>
      </c>
      <c r="P97" s="7" t="str">
        <f>IF($A97="","",SUMIFS(Blog!E:E,Blog!B:B,$A97,Blog!C:C,$B97))</f>
        <v/>
      </c>
      <c r="Q97" s="7" t="str">
        <f>IF($A97="","",COUNTIFS(LinkedIn_Posts!A:A,$A97,LinkedIn_Posts!B:B,$B97))</f>
        <v/>
      </c>
      <c r="R97" s="7" t="str">
        <f>IF($A97="","",SUMIFS(LinkedIn_Posts!F:F,LinkedIn_Posts!A:A,$A97,LinkedIn_Posts!B:B,$B97))</f>
        <v/>
      </c>
      <c r="S97" s="7" t="str">
        <f>IF($A97="","",SUMIFS(LinkedIn_Posts!G:G,LinkedIn_Posts!A:A,$A97,LinkedIn_Posts!B:B,$B97))</f>
        <v/>
      </c>
      <c r="T97" s="7" t="str">
        <f>IF($A97="","",SUMIFS(LinkedIn_Posts!H:H,LinkedIn_Posts!A:A,$A97,LinkedIn_Posts!B:B,$B97))</f>
        <v/>
      </c>
      <c r="U97" s="7" t="str">
        <f>IF($A97="","",SUMIFS(LinkedIn_Posts!I:I,LinkedIn_Posts!A:A,$A97,LinkedIn_Posts!B:B,$B97))</f>
        <v/>
      </c>
    </row>
    <row r="98">
      <c r="A98" s="7" t="s">
        <v>47</v>
      </c>
      <c r="B98" s="7" t="s">
        <v>47</v>
      </c>
      <c r="C98" s="7" t="s">
        <v>47</v>
      </c>
      <c r="D98" s="7" t="str">
        <f>IF($A98="","",SUMIFS(YouTube_Long!G:G,YouTube_Long!A:A,$A98,YouTube_Long!B:B,$B98))</f>
        <v/>
      </c>
      <c r="E98" s="7" t="str">
        <f>IF($A98="","",SUMIFS(YouTube_Long!H:H,YouTube_Long!A:A,$A98,YouTube_Long!B:B,$B98))</f>
        <v/>
      </c>
      <c r="F98" s="7" t="str">
        <f>IF($A98="","",SUMIFS(YouTube_Long!I:I,YouTube_Long!A:A,$A98,YouTube_Long!B:B,$B98))</f>
        <v/>
      </c>
      <c r="G98" s="7" t="str">
        <f>IF($A98="","",COUNTIFS(YouTube_Shorts!A:A,$A98,YouTube_Shorts!B:B,$B98))</f>
        <v/>
      </c>
      <c r="H98" s="7" t="str">
        <f>IF($A98="","",SUMIFS(YouTube_Shorts!F:F,YouTube_Shorts!A:A,$A98,YouTube_Shorts!B:B,$B98))</f>
        <v/>
      </c>
      <c r="I98" s="7" t="str">
        <f>IF($A98="","",SUMIFS(YouTube_Shorts!G:G,YouTube_Shorts!A:A,$A98,YouTube_Shorts!B:B,$B98))</f>
        <v/>
      </c>
      <c r="J98" s="7" t="str">
        <f t="shared" si="1"/>
        <v/>
      </c>
      <c r="K98" s="7" t="str">
        <f>IF($A98="","",SUMIFS(Audio!D:D,Audio!A:A,$A98,Audio!B:B,$B98))</f>
        <v/>
      </c>
      <c r="L98" s="7" t="str">
        <f>IF($A98="","",COUNTIFS(TikTok_Posts!A:A,$A98,TikTok_Posts!B:B,$B98))</f>
        <v/>
      </c>
      <c r="M98" s="7" t="str">
        <f>IF($A98="","",SUMIFS(TikTok_Posts!E:E,TikTok_Posts!A:A,$A98,TikTok_Posts!B:B,$B98))</f>
        <v/>
      </c>
      <c r="N98" s="7" t="str">
        <f>IF($A98="","",COUNTIFS(Instagram_Posts!A:A,$A98,Instagram_Posts!B:B,$B98))</f>
        <v/>
      </c>
      <c r="O98" s="7" t="str">
        <f>IF($A98="","",SUMIFS(Instagram_Posts!E:E,Instagram_Posts!A:A,$A98,Instagram_Posts!B:B,$B98))</f>
        <v/>
      </c>
      <c r="P98" s="7" t="str">
        <f>IF($A98="","",SUMIFS(Blog!E:E,Blog!B:B,$A98,Blog!C:C,$B98))</f>
        <v/>
      </c>
      <c r="Q98" s="7" t="str">
        <f>IF($A98="","",COUNTIFS(LinkedIn_Posts!A:A,$A98,LinkedIn_Posts!B:B,$B98))</f>
        <v/>
      </c>
      <c r="R98" s="7" t="str">
        <f>IF($A98="","",SUMIFS(LinkedIn_Posts!F:F,LinkedIn_Posts!A:A,$A98,LinkedIn_Posts!B:B,$B98))</f>
        <v/>
      </c>
      <c r="S98" s="7" t="str">
        <f>IF($A98="","",SUMIFS(LinkedIn_Posts!G:G,LinkedIn_Posts!A:A,$A98,LinkedIn_Posts!B:B,$B98))</f>
        <v/>
      </c>
      <c r="T98" s="7" t="str">
        <f>IF($A98="","",SUMIFS(LinkedIn_Posts!H:H,LinkedIn_Posts!A:A,$A98,LinkedIn_Posts!B:B,$B98))</f>
        <v/>
      </c>
      <c r="U98" s="7" t="str">
        <f>IF($A98="","",SUMIFS(LinkedIn_Posts!I:I,LinkedIn_Posts!A:A,$A98,LinkedIn_Posts!B:B,$B98))</f>
        <v/>
      </c>
    </row>
    <row r="99">
      <c r="A99" s="7" t="s">
        <v>47</v>
      </c>
      <c r="B99" s="7" t="s">
        <v>47</v>
      </c>
      <c r="C99" s="7" t="s">
        <v>47</v>
      </c>
      <c r="D99" s="7" t="str">
        <f>IF($A99="","",SUMIFS(YouTube_Long!G:G,YouTube_Long!A:A,$A99,YouTube_Long!B:B,$B99))</f>
        <v/>
      </c>
      <c r="E99" s="7" t="str">
        <f>IF($A99="","",SUMIFS(YouTube_Long!H:H,YouTube_Long!A:A,$A99,YouTube_Long!B:B,$B99))</f>
        <v/>
      </c>
      <c r="F99" s="7" t="str">
        <f>IF($A99="","",SUMIFS(YouTube_Long!I:I,YouTube_Long!A:A,$A99,YouTube_Long!B:B,$B99))</f>
        <v/>
      </c>
      <c r="G99" s="7" t="str">
        <f>IF($A99="","",COUNTIFS(YouTube_Shorts!A:A,$A99,YouTube_Shorts!B:B,$B99))</f>
        <v/>
      </c>
      <c r="H99" s="7" t="str">
        <f>IF($A99="","",SUMIFS(YouTube_Shorts!F:F,YouTube_Shorts!A:A,$A99,YouTube_Shorts!B:B,$B99))</f>
        <v/>
      </c>
      <c r="I99" s="7" t="str">
        <f>IF($A99="","",SUMIFS(YouTube_Shorts!G:G,YouTube_Shorts!A:A,$A99,YouTube_Shorts!B:B,$B99))</f>
        <v/>
      </c>
      <c r="J99" s="7" t="str">
        <f t="shared" si="1"/>
        <v/>
      </c>
      <c r="K99" s="7" t="str">
        <f>IF($A99="","",SUMIFS(Audio!D:D,Audio!A:A,$A99,Audio!B:B,$B99))</f>
        <v/>
      </c>
      <c r="L99" s="7" t="str">
        <f>IF($A99="","",COUNTIFS(TikTok_Posts!A:A,$A99,TikTok_Posts!B:B,$B99))</f>
        <v/>
      </c>
      <c r="M99" s="7" t="str">
        <f>IF($A99="","",SUMIFS(TikTok_Posts!E:E,TikTok_Posts!A:A,$A99,TikTok_Posts!B:B,$B99))</f>
        <v/>
      </c>
      <c r="N99" s="7" t="str">
        <f>IF($A99="","",COUNTIFS(Instagram_Posts!A:A,$A99,Instagram_Posts!B:B,$B99))</f>
        <v/>
      </c>
      <c r="O99" s="7" t="str">
        <f>IF($A99="","",SUMIFS(Instagram_Posts!E:E,Instagram_Posts!A:A,$A99,Instagram_Posts!B:B,$B99))</f>
        <v/>
      </c>
      <c r="P99" s="7" t="str">
        <f>IF($A99="","",SUMIFS(Blog!E:E,Blog!B:B,$A99,Blog!C:C,$B99))</f>
        <v/>
      </c>
      <c r="Q99" s="7" t="str">
        <f>IF($A99="","",COUNTIFS(LinkedIn_Posts!A:A,$A99,LinkedIn_Posts!B:B,$B99))</f>
        <v/>
      </c>
      <c r="R99" s="7" t="str">
        <f>IF($A99="","",SUMIFS(LinkedIn_Posts!F:F,LinkedIn_Posts!A:A,$A99,LinkedIn_Posts!B:B,$B99))</f>
        <v/>
      </c>
      <c r="S99" s="7" t="str">
        <f>IF($A99="","",SUMIFS(LinkedIn_Posts!G:G,LinkedIn_Posts!A:A,$A99,LinkedIn_Posts!B:B,$B99))</f>
        <v/>
      </c>
      <c r="T99" s="7" t="str">
        <f>IF($A99="","",SUMIFS(LinkedIn_Posts!H:H,LinkedIn_Posts!A:A,$A99,LinkedIn_Posts!B:B,$B99))</f>
        <v/>
      </c>
      <c r="U99" s="7" t="str">
        <f>IF($A99="","",SUMIFS(LinkedIn_Posts!I:I,LinkedIn_Posts!A:A,$A99,LinkedIn_Posts!B:B,$B99))</f>
        <v/>
      </c>
    </row>
    <row r="100">
      <c r="A100" s="7" t="s">
        <v>47</v>
      </c>
      <c r="B100" s="7" t="s">
        <v>47</v>
      </c>
      <c r="C100" s="7" t="s">
        <v>47</v>
      </c>
      <c r="D100" s="7" t="str">
        <f>IF($A100="","",SUMIFS(YouTube_Long!G:G,YouTube_Long!A:A,$A100,YouTube_Long!B:B,$B100))</f>
        <v/>
      </c>
      <c r="E100" s="7" t="str">
        <f>IF($A100="","",SUMIFS(YouTube_Long!H:H,YouTube_Long!A:A,$A100,YouTube_Long!B:B,$B100))</f>
        <v/>
      </c>
      <c r="F100" s="7" t="str">
        <f>IF($A100="","",SUMIFS(YouTube_Long!I:I,YouTube_Long!A:A,$A100,YouTube_Long!B:B,$B100))</f>
        <v/>
      </c>
      <c r="G100" s="7" t="str">
        <f>IF($A100="","",COUNTIFS(YouTube_Shorts!A:A,$A100,YouTube_Shorts!B:B,$B100))</f>
        <v/>
      </c>
      <c r="H100" s="7" t="str">
        <f>IF($A100="","",SUMIFS(YouTube_Shorts!F:F,YouTube_Shorts!A:A,$A100,YouTube_Shorts!B:B,$B100))</f>
        <v/>
      </c>
      <c r="I100" s="7" t="str">
        <f>IF($A100="","",SUMIFS(YouTube_Shorts!G:G,YouTube_Shorts!A:A,$A100,YouTube_Shorts!B:B,$B100))</f>
        <v/>
      </c>
      <c r="J100" s="7" t="str">
        <f t="shared" si="1"/>
        <v/>
      </c>
      <c r="K100" s="7" t="str">
        <f>IF($A100="","",SUMIFS(Audio!D:D,Audio!A:A,$A100,Audio!B:B,$B100))</f>
        <v/>
      </c>
      <c r="L100" s="7" t="str">
        <f>IF($A100="","",COUNTIFS(TikTok_Posts!A:A,$A100,TikTok_Posts!B:B,$B100))</f>
        <v/>
      </c>
      <c r="M100" s="7" t="str">
        <f>IF($A100="","",SUMIFS(TikTok_Posts!E:E,TikTok_Posts!A:A,$A100,TikTok_Posts!B:B,$B100))</f>
        <v/>
      </c>
      <c r="N100" s="7" t="str">
        <f>IF($A100="","",COUNTIFS(Instagram_Posts!A:A,$A100,Instagram_Posts!B:B,$B100))</f>
        <v/>
      </c>
      <c r="O100" s="7" t="str">
        <f>IF($A100="","",SUMIFS(Instagram_Posts!E:E,Instagram_Posts!A:A,$A100,Instagram_Posts!B:B,$B100))</f>
        <v/>
      </c>
      <c r="P100" s="7" t="str">
        <f>IF($A100="","",SUMIFS(Blog!E:E,Blog!B:B,$A100,Blog!C:C,$B100))</f>
        <v/>
      </c>
      <c r="Q100" s="7" t="str">
        <f>IF($A100="","",COUNTIFS(LinkedIn_Posts!A:A,$A100,LinkedIn_Posts!B:B,$B100))</f>
        <v/>
      </c>
      <c r="R100" s="7" t="str">
        <f>IF($A100="","",SUMIFS(LinkedIn_Posts!F:F,LinkedIn_Posts!A:A,$A100,LinkedIn_Posts!B:B,$B100))</f>
        <v/>
      </c>
      <c r="S100" s="7" t="str">
        <f>IF($A100="","",SUMIFS(LinkedIn_Posts!G:G,LinkedIn_Posts!A:A,$A100,LinkedIn_Posts!B:B,$B100))</f>
        <v/>
      </c>
      <c r="T100" s="7" t="str">
        <f>IF($A100="","",SUMIFS(LinkedIn_Posts!H:H,LinkedIn_Posts!A:A,$A100,LinkedIn_Posts!B:B,$B100))</f>
        <v/>
      </c>
      <c r="U100" s="7" t="str">
        <f>IF($A100="","",SUMIFS(LinkedIn_Posts!I:I,LinkedIn_Posts!A:A,$A100,LinkedIn_Posts!B:B,$B100))</f>
        <v/>
      </c>
    </row>
    <row r="101">
      <c r="A101" s="7" t="s">
        <v>47</v>
      </c>
      <c r="B101" s="7" t="s">
        <v>47</v>
      </c>
      <c r="C101" s="7" t="s">
        <v>47</v>
      </c>
      <c r="D101" s="7" t="str">
        <f>IF($A101="","",SUMIFS(YouTube_Long!G:G,YouTube_Long!A:A,$A101,YouTube_Long!B:B,$B101))</f>
        <v/>
      </c>
      <c r="E101" s="7" t="str">
        <f>IF($A101="","",SUMIFS(YouTube_Long!H:H,YouTube_Long!A:A,$A101,YouTube_Long!B:B,$B101))</f>
        <v/>
      </c>
      <c r="F101" s="7" t="str">
        <f>IF($A101="","",SUMIFS(YouTube_Long!I:I,YouTube_Long!A:A,$A101,YouTube_Long!B:B,$B101))</f>
        <v/>
      </c>
      <c r="G101" s="7" t="str">
        <f>IF($A101="","",COUNTIFS(YouTube_Shorts!A:A,$A101,YouTube_Shorts!B:B,$B101))</f>
        <v/>
      </c>
      <c r="H101" s="7" t="str">
        <f>IF($A101="","",SUMIFS(YouTube_Shorts!F:F,YouTube_Shorts!A:A,$A101,YouTube_Shorts!B:B,$B101))</f>
        <v/>
      </c>
      <c r="I101" s="7" t="str">
        <f>IF($A101="","",SUMIFS(YouTube_Shorts!G:G,YouTube_Shorts!A:A,$A101,YouTube_Shorts!B:B,$B101))</f>
        <v/>
      </c>
      <c r="J101" s="7" t="str">
        <f t="shared" si="1"/>
        <v/>
      </c>
      <c r="K101" s="7" t="str">
        <f>IF($A101="","",SUMIFS(Audio!D:D,Audio!A:A,$A101,Audio!B:B,$B101))</f>
        <v/>
      </c>
      <c r="L101" s="7" t="str">
        <f>IF($A101="","",COUNTIFS(TikTok_Posts!A:A,$A101,TikTok_Posts!B:B,$B101))</f>
        <v/>
      </c>
      <c r="M101" s="7" t="str">
        <f>IF($A101="","",SUMIFS(TikTok_Posts!E:E,TikTok_Posts!A:A,$A101,TikTok_Posts!B:B,$B101))</f>
        <v/>
      </c>
      <c r="N101" s="7" t="str">
        <f>IF($A101="","",COUNTIFS(Instagram_Posts!A:A,$A101,Instagram_Posts!B:B,$B101))</f>
        <v/>
      </c>
      <c r="O101" s="7" t="str">
        <f>IF($A101="","",SUMIFS(Instagram_Posts!E:E,Instagram_Posts!A:A,$A101,Instagram_Posts!B:B,$B101))</f>
        <v/>
      </c>
      <c r="P101" s="7" t="str">
        <f>IF($A101="","",SUMIFS(Blog!E:E,Blog!B:B,$A101,Blog!C:C,$B101))</f>
        <v/>
      </c>
      <c r="Q101" s="7" t="str">
        <f>IF($A101="","",COUNTIFS(LinkedIn_Posts!A:A,$A101,LinkedIn_Posts!B:B,$B101))</f>
        <v/>
      </c>
      <c r="R101" s="7" t="str">
        <f>IF($A101="","",SUMIFS(LinkedIn_Posts!F:F,LinkedIn_Posts!A:A,$A101,LinkedIn_Posts!B:B,$B101))</f>
        <v/>
      </c>
      <c r="S101" s="7" t="str">
        <f>IF($A101="","",SUMIFS(LinkedIn_Posts!G:G,LinkedIn_Posts!A:A,$A101,LinkedIn_Posts!B:B,$B101))</f>
        <v/>
      </c>
      <c r="T101" s="7" t="str">
        <f>IF($A101="","",SUMIFS(LinkedIn_Posts!H:H,LinkedIn_Posts!A:A,$A101,LinkedIn_Posts!B:B,$B101))</f>
        <v/>
      </c>
      <c r="U101" s="7" t="str">
        <f>IF($A101="","",SUMIFS(LinkedIn_Posts!I:I,LinkedIn_Posts!A:A,$A101,LinkedIn_Posts!B:B,$B101))</f>
        <v/>
      </c>
    </row>
    <row r="102">
      <c r="A102" s="7" t="s">
        <v>47</v>
      </c>
      <c r="B102" s="7" t="s">
        <v>47</v>
      </c>
      <c r="C102" s="7" t="s">
        <v>47</v>
      </c>
      <c r="D102" s="7" t="str">
        <f>IF($A102="","",SUMIFS(YouTube_Long!G:G,YouTube_Long!A:A,$A102,YouTube_Long!B:B,$B102))</f>
        <v/>
      </c>
      <c r="E102" s="7" t="str">
        <f>IF($A102="","",SUMIFS(YouTube_Long!H:H,YouTube_Long!A:A,$A102,YouTube_Long!B:B,$B102))</f>
        <v/>
      </c>
      <c r="F102" s="7" t="str">
        <f>IF($A102="","",SUMIFS(YouTube_Long!I:I,YouTube_Long!A:A,$A102,YouTube_Long!B:B,$B102))</f>
        <v/>
      </c>
      <c r="G102" s="7" t="str">
        <f>IF($A102="","",COUNTIFS(YouTube_Shorts!A:A,$A102,YouTube_Shorts!B:B,$B102))</f>
        <v/>
      </c>
      <c r="H102" s="7" t="str">
        <f>IF($A102="","",SUMIFS(YouTube_Shorts!F:F,YouTube_Shorts!A:A,$A102,YouTube_Shorts!B:B,$B102))</f>
        <v/>
      </c>
      <c r="I102" s="7" t="str">
        <f>IF($A102="","",SUMIFS(YouTube_Shorts!G:G,YouTube_Shorts!A:A,$A102,YouTube_Shorts!B:B,$B102))</f>
        <v/>
      </c>
      <c r="J102" s="7" t="str">
        <f t="shared" si="1"/>
        <v/>
      </c>
      <c r="K102" s="7" t="str">
        <f>IF($A102="","",SUMIFS(Audio!D:D,Audio!A:A,$A102,Audio!B:B,$B102))</f>
        <v/>
      </c>
      <c r="L102" s="7" t="str">
        <f>IF($A102="","",COUNTIFS(TikTok_Posts!A:A,$A102,TikTok_Posts!B:B,$B102))</f>
        <v/>
      </c>
      <c r="M102" s="7" t="str">
        <f>IF($A102="","",SUMIFS(TikTok_Posts!E:E,TikTok_Posts!A:A,$A102,TikTok_Posts!B:B,$B102))</f>
        <v/>
      </c>
      <c r="N102" s="7" t="str">
        <f>IF($A102="","",COUNTIFS(Instagram_Posts!A:A,$A102,Instagram_Posts!B:B,$B102))</f>
        <v/>
      </c>
      <c r="O102" s="7" t="str">
        <f>IF($A102="","",SUMIFS(Instagram_Posts!E:E,Instagram_Posts!A:A,$A102,Instagram_Posts!B:B,$B102))</f>
        <v/>
      </c>
      <c r="P102" s="7" t="str">
        <f>IF($A102="","",SUMIFS(Blog!E:E,Blog!B:B,$A102,Blog!C:C,$B102))</f>
        <v/>
      </c>
      <c r="Q102" s="7" t="str">
        <f>IF($A102="","",COUNTIFS(LinkedIn_Posts!A:A,$A102,LinkedIn_Posts!B:B,$B102))</f>
        <v/>
      </c>
      <c r="R102" s="7" t="str">
        <f>IF($A102="","",SUMIFS(LinkedIn_Posts!F:F,LinkedIn_Posts!A:A,$A102,LinkedIn_Posts!B:B,$B102))</f>
        <v/>
      </c>
      <c r="S102" s="7" t="str">
        <f>IF($A102="","",SUMIFS(LinkedIn_Posts!G:G,LinkedIn_Posts!A:A,$A102,LinkedIn_Posts!B:B,$B102))</f>
        <v/>
      </c>
      <c r="T102" s="7" t="str">
        <f>IF($A102="","",SUMIFS(LinkedIn_Posts!H:H,LinkedIn_Posts!A:A,$A102,LinkedIn_Posts!B:B,$B102))</f>
        <v/>
      </c>
      <c r="U102" s="7" t="str">
        <f>IF($A102="","",SUMIFS(LinkedIn_Posts!I:I,LinkedIn_Posts!A:A,$A102,LinkedIn_Posts!B:B,$B102))</f>
        <v/>
      </c>
    </row>
    <row r="103">
      <c r="A103" s="7" t="s">
        <v>47</v>
      </c>
      <c r="B103" s="7" t="s">
        <v>47</v>
      </c>
      <c r="C103" s="7" t="s">
        <v>47</v>
      </c>
      <c r="D103" s="7" t="str">
        <f>IF($A103="","",SUMIFS(YouTube_Long!G:G,YouTube_Long!A:A,$A103,YouTube_Long!B:B,$B103))</f>
        <v/>
      </c>
      <c r="E103" s="7" t="str">
        <f>IF($A103="","",SUMIFS(YouTube_Long!H:H,YouTube_Long!A:A,$A103,YouTube_Long!B:B,$B103))</f>
        <v/>
      </c>
      <c r="F103" s="7" t="str">
        <f>IF($A103="","",SUMIFS(YouTube_Long!I:I,YouTube_Long!A:A,$A103,YouTube_Long!B:B,$B103))</f>
        <v/>
      </c>
      <c r="G103" s="7" t="str">
        <f>IF($A103="","",COUNTIFS(YouTube_Shorts!A:A,$A103,YouTube_Shorts!B:B,$B103))</f>
        <v/>
      </c>
      <c r="H103" s="7" t="str">
        <f>IF($A103="","",SUMIFS(YouTube_Shorts!F:F,YouTube_Shorts!A:A,$A103,YouTube_Shorts!B:B,$B103))</f>
        <v/>
      </c>
      <c r="I103" s="7" t="str">
        <f>IF($A103="","",SUMIFS(YouTube_Shorts!G:G,YouTube_Shorts!A:A,$A103,YouTube_Shorts!B:B,$B103))</f>
        <v/>
      </c>
      <c r="J103" s="7" t="str">
        <f t="shared" si="1"/>
        <v/>
      </c>
      <c r="K103" s="7" t="str">
        <f>IF($A103="","",SUMIFS(Audio!D:D,Audio!A:A,$A103,Audio!B:B,$B103))</f>
        <v/>
      </c>
      <c r="L103" s="7" t="str">
        <f>IF($A103="","",COUNTIFS(TikTok_Posts!A:A,$A103,TikTok_Posts!B:B,$B103))</f>
        <v/>
      </c>
      <c r="M103" s="7" t="str">
        <f>IF($A103="","",SUMIFS(TikTok_Posts!E:E,TikTok_Posts!A:A,$A103,TikTok_Posts!B:B,$B103))</f>
        <v/>
      </c>
      <c r="N103" s="7" t="str">
        <f>IF($A103="","",COUNTIFS(Instagram_Posts!A:A,$A103,Instagram_Posts!B:B,$B103))</f>
        <v/>
      </c>
      <c r="O103" s="7" t="str">
        <f>IF($A103="","",SUMIFS(Instagram_Posts!E:E,Instagram_Posts!A:A,$A103,Instagram_Posts!B:B,$B103))</f>
        <v/>
      </c>
      <c r="P103" s="7" t="str">
        <f>IF($A103="","",SUMIFS(Blog!E:E,Blog!B:B,$A103,Blog!C:C,$B103))</f>
        <v/>
      </c>
      <c r="Q103" s="7" t="str">
        <f>IF($A103="","",COUNTIFS(LinkedIn_Posts!A:A,$A103,LinkedIn_Posts!B:B,$B103))</f>
        <v/>
      </c>
      <c r="R103" s="7" t="str">
        <f>IF($A103="","",SUMIFS(LinkedIn_Posts!F:F,LinkedIn_Posts!A:A,$A103,LinkedIn_Posts!B:B,$B103))</f>
        <v/>
      </c>
      <c r="S103" s="7" t="str">
        <f>IF($A103="","",SUMIFS(LinkedIn_Posts!G:G,LinkedIn_Posts!A:A,$A103,LinkedIn_Posts!B:B,$B103))</f>
        <v/>
      </c>
      <c r="T103" s="7" t="str">
        <f>IF($A103="","",SUMIFS(LinkedIn_Posts!H:H,LinkedIn_Posts!A:A,$A103,LinkedIn_Posts!B:B,$B103))</f>
        <v/>
      </c>
      <c r="U103" s="7" t="str">
        <f>IF($A103="","",SUMIFS(LinkedIn_Posts!I:I,LinkedIn_Posts!A:A,$A103,LinkedIn_Posts!B:B,$B103))</f>
        <v/>
      </c>
    </row>
    <row r="104">
      <c r="A104" s="7" t="s">
        <v>47</v>
      </c>
      <c r="B104" s="7" t="s">
        <v>47</v>
      </c>
      <c r="C104" s="7" t="s">
        <v>47</v>
      </c>
      <c r="D104" s="7" t="str">
        <f>IF($A104="","",SUMIFS(YouTube_Long!G:G,YouTube_Long!A:A,$A104,YouTube_Long!B:B,$B104))</f>
        <v/>
      </c>
      <c r="E104" s="7" t="str">
        <f>IF($A104="","",SUMIFS(YouTube_Long!H:H,YouTube_Long!A:A,$A104,YouTube_Long!B:B,$B104))</f>
        <v/>
      </c>
      <c r="F104" s="7" t="str">
        <f>IF($A104="","",SUMIFS(YouTube_Long!I:I,YouTube_Long!A:A,$A104,YouTube_Long!B:B,$B104))</f>
        <v/>
      </c>
      <c r="G104" s="7" t="str">
        <f>IF($A104="","",COUNTIFS(YouTube_Shorts!A:A,$A104,YouTube_Shorts!B:B,$B104))</f>
        <v/>
      </c>
      <c r="H104" s="7" t="str">
        <f>IF($A104="","",SUMIFS(YouTube_Shorts!F:F,YouTube_Shorts!A:A,$A104,YouTube_Shorts!B:B,$B104))</f>
        <v/>
      </c>
      <c r="I104" s="7" t="str">
        <f>IF($A104="","",SUMIFS(YouTube_Shorts!G:G,YouTube_Shorts!A:A,$A104,YouTube_Shorts!B:B,$B104))</f>
        <v/>
      </c>
      <c r="J104" s="7" t="str">
        <f t="shared" si="1"/>
        <v/>
      </c>
      <c r="K104" s="7" t="str">
        <f>IF($A104="","",SUMIFS(Audio!D:D,Audio!A:A,$A104,Audio!B:B,$B104))</f>
        <v/>
      </c>
      <c r="L104" s="7" t="str">
        <f>IF($A104="","",COUNTIFS(TikTok_Posts!A:A,$A104,TikTok_Posts!B:B,$B104))</f>
        <v/>
      </c>
      <c r="M104" s="7" t="str">
        <f>IF($A104="","",SUMIFS(TikTok_Posts!E:E,TikTok_Posts!A:A,$A104,TikTok_Posts!B:B,$B104))</f>
        <v/>
      </c>
      <c r="N104" s="7" t="str">
        <f>IF($A104="","",COUNTIFS(Instagram_Posts!A:A,$A104,Instagram_Posts!B:B,$B104))</f>
        <v/>
      </c>
      <c r="O104" s="7" t="str">
        <f>IF($A104="","",SUMIFS(Instagram_Posts!E:E,Instagram_Posts!A:A,$A104,Instagram_Posts!B:B,$B104))</f>
        <v/>
      </c>
      <c r="P104" s="7" t="str">
        <f>IF($A104="","",SUMIFS(Blog!E:E,Blog!B:B,$A104,Blog!C:C,$B104))</f>
        <v/>
      </c>
      <c r="Q104" s="7" t="str">
        <f>IF($A104="","",COUNTIFS(LinkedIn_Posts!A:A,$A104,LinkedIn_Posts!B:B,$B104))</f>
        <v/>
      </c>
      <c r="R104" s="7" t="str">
        <f>IF($A104="","",SUMIFS(LinkedIn_Posts!F:F,LinkedIn_Posts!A:A,$A104,LinkedIn_Posts!B:B,$B104))</f>
        <v/>
      </c>
      <c r="S104" s="7" t="str">
        <f>IF($A104="","",SUMIFS(LinkedIn_Posts!G:G,LinkedIn_Posts!A:A,$A104,LinkedIn_Posts!B:B,$B104))</f>
        <v/>
      </c>
      <c r="T104" s="7" t="str">
        <f>IF($A104="","",SUMIFS(LinkedIn_Posts!H:H,LinkedIn_Posts!A:A,$A104,LinkedIn_Posts!B:B,$B104))</f>
        <v/>
      </c>
      <c r="U104" s="7" t="str">
        <f>IF($A104="","",SUMIFS(LinkedIn_Posts!I:I,LinkedIn_Posts!A:A,$A104,LinkedIn_Posts!B:B,$B104))</f>
        <v/>
      </c>
    </row>
    <row r="105">
      <c r="A105" s="7" t="s">
        <v>47</v>
      </c>
      <c r="B105" s="7" t="s">
        <v>47</v>
      </c>
      <c r="C105" s="7" t="s">
        <v>47</v>
      </c>
      <c r="D105" s="7" t="str">
        <f>IF($A105="","",SUMIFS(YouTube_Long!G:G,YouTube_Long!A:A,$A105,YouTube_Long!B:B,$B105))</f>
        <v/>
      </c>
      <c r="E105" s="7" t="str">
        <f>IF($A105="","",SUMIFS(YouTube_Long!H:H,YouTube_Long!A:A,$A105,YouTube_Long!B:B,$B105))</f>
        <v/>
      </c>
      <c r="F105" s="7" t="str">
        <f>IF($A105="","",SUMIFS(YouTube_Long!I:I,YouTube_Long!A:A,$A105,YouTube_Long!B:B,$B105))</f>
        <v/>
      </c>
      <c r="G105" s="7" t="str">
        <f>IF($A105="","",COUNTIFS(YouTube_Shorts!A:A,$A105,YouTube_Shorts!B:B,$B105))</f>
        <v/>
      </c>
      <c r="H105" s="7" t="str">
        <f>IF($A105="","",SUMIFS(YouTube_Shorts!F:F,YouTube_Shorts!A:A,$A105,YouTube_Shorts!B:B,$B105))</f>
        <v/>
      </c>
      <c r="I105" s="7" t="str">
        <f>IF($A105="","",SUMIFS(YouTube_Shorts!G:G,YouTube_Shorts!A:A,$A105,YouTube_Shorts!B:B,$B105))</f>
        <v/>
      </c>
      <c r="J105" s="7" t="str">
        <f t="shared" si="1"/>
        <v/>
      </c>
      <c r="K105" s="7" t="str">
        <f>IF($A105="","",SUMIFS(Audio!D:D,Audio!A:A,$A105,Audio!B:B,$B105))</f>
        <v/>
      </c>
      <c r="L105" s="7" t="str">
        <f>IF($A105="","",COUNTIFS(TikTok_Posts!A:A,$A105,TikTok_Posts!B:B,$B105))</f>
        <v/>
      </c>
      <c r="M105" s="7" t="str">
        <f>IF($A105="","",SUMIFS(TikTok_Posts!E:E,TikTok_Posts!A:A,$A105,TikTok_Posts!B:B,$B105))</f>
        <v/>
      </c>
      <c r="N105" s="7" t="str">
        <f>IF($A105="","",COUNTIFS(Instagram_Posts!A:A,$A105,Instagram_Posts!B:B,$B105))</f>
        <v/>
      </c>
      <c r="O105" s="7" t="str">
        <f>IF($A105="","",SUMIFS(Instagram_Posts!E:E,Instagram_Posts!A:A,$A105,Instagram_Posts!B:B,$B105))</f>
        <v/>
      </c>
      <c r="P105" s="7" t="str">
        <f>IF($A105="","",SUMIFS(Blog!E:E,Blog!B:B,$A105,Blog!C:C,$B105))</f>
        <v/>
      </c>
      <c r="Q105" s="7" t="str">
        <f>IF($A105="","",COUNTIFS(LinkedIn_Posts!A:A,$A105,LinkedIn_Posts!B:B,$B105))</f>
        <v/>
      </c>
      <c r="R105" s="7" t="str">
        <f>IF($A105="","",SUMIFS(LinkedIn_Posts!F:F,LinkedIn_Posts!A:A,$A105,LinkedIn_Posts!B:B,$B105))</f>
        <v/>
      </c>
      <c r="S105" s="7" t="str">
        <f>IF($A105="","",SUMIFS(LinkedIn_Posts!G:G,LinkedIn_Posts!A:A,$A105,LinkedIn_Posts!B:B,$B105))</f>
        <v/>
      </c>
      <c r="T105" s="7" t="str">
        <f>IF($A105="","",SUMIFS(LinkedIn_Posts!H:H,LinkedIn_Posts!A:A,$A105,LinkedIn_Posts!B:B,$B105))</f>
        <v/>
      </c>
      <c r="U105" s="7" t="str">
        <f>IF($A105="","",SUMIFS(LinkedIn_Posts!I:I,LinkedIn_Posts!A:A,$A105,LinkedIn_Posts!B:B,$B105))</f>
        <v/>
      </c>
    </row>
    <row r="106">
      <c r="A106" s="7" t="s">
        <v>47</v>
      </c>
      <c r="B106" s="7" t="s">
        <v>47</v>
      </c>
      <c r="C106" s="7" t="s">
        <v>47</v>
      </c>
      <c r="D106" s="7" t="str">
        <f>IF($A106="","",SUMIFS(YouTube_Long!G:G,YouTube_Long!A:A,$A106,YouTube_Long!B:B,$B106))</f>
        <v/>
      </c>
      <c r="E106" s="7" t="str">
        <f>IF($A106="","",SUMIFS(YouTube_Long!H:H,YouTube_Long!A:A,$A106,YouTube_Long!B:B,$B106))</f>
        <v/>
      </c>
      <c r="F106" s="7" t="str">
        <f>IF($A106="","",SUMIFS(YouTube_Long!I:I,YouTube_Long!A:A,$A106,YouTube_Long!B:B,$B106))</f>
        <v/>
      </c>
      <c r="G106" s="7" t="str">
        <f>IF($A106="","",COUNTIFS(YouTube_Shorts!A:A,$A106,YouTube_Shorts!B:B,$B106))</f>
        <v/>
      </c>
      <c r="H106" s="7" t="str">
        <f>IF($A106="","",SUMIFS(YouTube_Shorts!F:F,YouTube_Shorts!A:A,$A106,YouTube_Shorts!B:B,$B106))</f>
        <v/>
      </c>
      <c r="I106" s="7" t="str">
        <f>IF($A106="","",SUMIFS(YouTube_Shorts!G:G,YouTube_Shorts!A:A,$A106,YouTube_Shorts!B:B,$B106))</f>
        <v/>
      </c>
      <c r="J106" s="7" t="str">
        <f t="shared" si="1"/>
        <v/>
      </c>
      <c r="K106" s="7" t="str">
        <f>IF($A106="","",SUMIFS(Audio!D:D,Audio!A:A,$A106,Audio!B:B,$B106))</f>
        <v/>
      </c>
      <c r="L106" s="7" t="str">
        <f>IF($A106="","",COUNTIFS(TikTok_Posts!A:A,$A106,TikTok_Posts!B:B,$B106))</f>
        <v/>
      </c>
      <c r="M106" s="7" t="str">
        <f>IF($A106="","",SUMIFS(TikTok_Posts!E:E,TikTok_Posts!A:A,$A106,TikTok_Posts!B:B,$B106))</f>
        <v/>
      </c>
      <c r="N106" s="7" t="str">
        <f>IF($A106="","",COUNTIFS(Instagram_Posts!A:A,$A106,Instagram_Posts!B:B,$B106))</f>
        <v/>
      </c>
      <c r="O106" s="7" t="str">
        <f>IF($A106="","",SUMIFS(Instagram_Posts!E:E,Instagram_Posts!A:A,$A106,Instagram_Posts!B:B,$B106))</f>
        <v/>
      </c>
      <c r="P106" s="7" t="str">
        <f>IF($A106="","",SUMIFS(Blog!E:E,Blog!B:B,$A106,Blog!C:C,$B106))</f>
        <v/>
      </c>
      <c r="Q106" s="7" t="str">
        <f>IF($A106="","",COUNTIFS(LinkedIn_Posts!A:A,$A106,LinkedIn_Posts!B:B,$B106))</f>
        <v/>
      </c>
      <c r="R106" s="7" t="str">
        <f>IF($A106="","",SUMIFS(LinkedIn_Posts!F:F,LinkedIn_Posts!A:A,$A106,LinkedIn_Posts!B:B,$B106))</f>
        <v/>
      </c>
      <c r="S106" s="7" t="str">
        <f>IF($A106="","",SUMIFS(LinkedIn_Posts!G:G,LinkedIn_Posts!A:A,$A106,LinkedIn_Posts!B:B,$B106))</f>
        <v/>
      </c>
      <c r="T106" s="7" t="str">
        <f>IF($A106="","",SUMIFS(LinkedIn_Posts!H:H,LinkedIn_Posts!A:A,$A106,LinkedIn_Posts!B:B,$B106))</f>
        <v/>
      </c>
      <c r="U106" s="7" t="str">
        <f>IF($A106="","",SUMIFS(LinkedIn_Posts!I:I,LinkedIn_Posts!A:A,$A106,LinkedIn_Posts!B:B,$B106))</f>
        <v/>
      </c>
    </row>
    <row r="107">
      <c r="A107" s="7" t="s">
        <v>47</v>
      </c>
      <c r="B107" s="7" t="s">
        <v>47</v>
      </c>
      <c r="C107" s="7" t="s">
        <v>47</v>
      </c>
      <c r="D107" s="7" t="str">
        <f>IF($A107="","",SUMIFS(YouTube_Long!G:G,YouTube_Long!A:A,$A107,YouTube_Long!B:B,$B107))</f>
        <v/>
      </c>
      <c r="E107" s="7" t="str">
        <f>IF($A107="","",SUMIFS(YouTube_Long!H:H,YouTube_Long!A:A,$A107,YouTube_Long!B:B,$B107))</f>
        <v/>
      </c>
      <c r="F107" s="7" t="str">
        <f>IF($A107="","",SUMIFS(YouTube_Long!I:I,YouTube_Long!A:A,$A107,YouTube_Long!B:B,$B107))</f>
        <v/>
      </c>
      <c r="G107" s="7" t="str">
        <f>IF($A107="","",COUNTIFS(YouTube_Shorts!A:A,$A107,YouTube_Shorts!B:B,$B107))</f>
        <v/>
      </c>
      <c r="H107" s="7" t="str">
        <f>IF($A107="","",SUMIFS(YouTube_Shorts!F:F,YouTube_Shorts!A:A,$A107,YouTube_Shorts!B:B,$B107))</f>
        <v/>
      </c>
      <c r="I107" s="7" t="str">
        <f>IF($A107="","",SUMIFS(YouTube_Shorts!G:G,YouTube_Shorts!A:A,$A107,YouTube_Shorts!B:B,$B107))</f>
        <v/>
      </c>
      <c r="J107" s="7" t="str">
        <f t="shared" si="1"/>
        <v/>
      </c>
      <c r="K107" s="7" t="str">
        <f>IF($A107="","",SUMIFS(Audio!D:D,Audio!A:A,$A107,Audio!B:B,$B107))</f>
        <v/>
      </c>
      <c r="L107" s="7" t="str">
        <f>IF($A107="","",COUNTIFS(TikTok_Posts!A:A,$A107,TikTok_Posts!B:B,$B107))</f>
        <v/>
      </c>
      <c r="M107" s="7" t="str">
        <f>IF($A107="","",SUMIFS(TikTok_Posts!E:E,TikTok_Posts!A:A,$A107,TikTok_Posts!B:B,$B107))</f>
        <v/>
      </c>
      <c r="N107" s="7" t="str">
        <f>IF($A107="","",COUNTIFS(Instagram_Posts!A:A,$A107,Instagram_Posts!B:B,$B107))</f>
        <v/>
      </c>
      <c r="O107" s="7" t="str">
        <f>IF($A107="","",SUMIFS(Instagram_Posts!E:E,Instagram_Posts!A:A,$A107,Instagram_Posts!B:B,$B107))</f>
        <v/>
      </c>
      <c r="P107" s="7" t="str">
        <f>IF($A107="","",SUMIFS(Blog!E:E,Blog!B:B,$A107,Blog!C:C,$B107))</f>
        <v/>
      </c>
      <c r="Q107" s="7" t="str">
        <f>IF($A107="","",COUNTIFS(LinkedIn_Posts!A:A,$A107,LinkedIn_Posts!B:B,$B107))</f>
        <v/>
      </c>
      <c r="R107" s="7" t="str">
        <f>IF($A107="","",SUMIFS(LinkedIn_Posts!F:F,LinkedIn_Posts!A:A,$A107,LinkedIn_Posts!B:B,$B107))</f>
        <v/>
      </c>
      <c r="S107" s="7" t="str">
        <f>IF($A107="","",SUMIFS(LinkedIn_Posts!G:G,LinkedIn_Posts!A:A,$A107,LinkedIn_Posts!B:B,$B107))</f>
        <v/>
      </c>
      <c r="T107" s="7" t="str">
        <f>IF($A107="","",SUMIFS(LinkedIn_Posts!H:H,LinkedIn_Posts!A:A,$A107,LinkedIn_Posts!B:B,$B107))</f>
        <v/>
      </c>
      <c r="U107" s="7" t="str">
        <f>IF($A107="","",SUMIFS(LinkedIn_Posts!I:I,LinkedIn_Posts!A:A,$A107,LinkedIn_Posts!B:B,$B107))</f>
        <v/>
      </c>
    </row>
    <row r="108">
      <c r="A108" s="7" t="s">
        <v>47</v>
      </c>
      <c r="B108" s="7" t="s">
        <v>47</v>
      </c>
      <c r="C108" s="7" t="s">
        <v>47</v>
      </c>
      <c r="D108" s="7" t="str">
        <f>IF($A108="","",SUMIFS(YouTube_Long!G:G,YouTube_Long!A:A,$A108,YouTube_Long!B:B,$B108))</f>
        <v/>
      </c>
      <c r="E108" s="7" t="str">
        <f>IF($A108="","",SUMIFS(YouTube_Long!H:H,YouTube_Long!A:A,$A108,YouTube_Long!B:B,$B108))</f>
        <v/>
      </c>
      <c r="F108" s="7" t="str">
        <f>IF($A108="","",SUMIFS(YouTube_Long!I:I,YouTube_Long!A:A,$A108,YouTube_Long!B:B,$B108))</f>
        <v/>
      </c>
      <c r="G108" s="7" t="str">
        <f>IF($A108="","",COUNTIFS(YouTube_Shorts!A:A,$A108,YouTube_Shorts!B:B,$B108))</f>
        <v/>
      </c>
      <c r="H108" s="7" t="str">
        <f>IF($A108="","",SUMIFS(YouTube_Shorts!F:F,YouTube_Shorts!A:A,$A108,YouTube_Shorts!B:B,$B108))</f>
        <v/>
      </c>
      <c r="I108" s="7" t="str">
        <f>IF($A108="","",SUMIFS(YouTube_Shorts!G:G,YouTube_Shorts!A:A,$A108,YouTube_Shorts!B:B,$B108))</f>
        <v/>
      </c>
      <c r="J108" s="7" t="str">
        <f t="shared" si="1"/>
        <v/>
      </c>
      <c r="K108" s="7" t="str">
        <f>IF($A108="","",SUMIFS(Audio!D:D,Audio!A:A,$A108,Audio!B:B,$B108))</f>
        <v/>
      </c>
      <c r="L108" s="7" t="str">
        <f>IF($A108="","",COUNTIFS(TikTok_Posts!A:A,$A108,TikTok_Posts!B:B,$B108))</f>
        <v/>
      </c>
      <c r="M108" s="7" t="str">
        <f>IF($A108="","",SUMIFS(TikTok_Posts!E:E,TikTok_Posts!A:A,$A108,TikTok_Posts!B:B,$B108))</f>
        <v/>
      </c>
      <c r="N108" s="7" t="str">
        <f>IF($A108="","",COUNTIFS(Instagram_Posts!A:A,$A108,Instagram_Posts!B:B,$B108))</f>
        <v/>
      </c>
      <c r="O108" s="7" t="str">
        <f>IF($A108="","",SUMIFS(Instagram_Posts!E:E,Instagram_Posts!A:A,$A108,Instagram_Posts!B:B,$B108))</f>
        <v/>
      </c>
      <c r="P108" s="7" t="str">
        <f>IF($A108="","",SUMIFS(Blog!E:E,Blog!B:B,$A108,Blog!C:C,$B108))</f>
        <v/>
      </c>
      <c r="Q108" s="7" t="str">
        <f>IF($A108="","",COUNTIFS(LinkedIn_Posts!A:A,$A108,LinkedIn_Posts!B:B,$B108))</f>
        <v/>
      </c>
      <c r="R108" s="7" t="str">
        <f>IF($A108="","",SUMIFS(LinkedIn_Posts!F:F,LinkedIn_Posts!A:A,$A108,LinkedIn_Posts!B:B,$B108))</f>
        <v/>
      </c>
      <c r="S108" s="7" t="str">
        <f>IF($A108="","",SUMIFS(LinkedIn_Posts!G:G,LinkedIn_Posts!A:A,$A108,LinkedIn_Posts!B:B,$B108))</f>
        <v/>
      </c>
      <c r="T108" s="7" t="str">
        <f>IF($A108="","",SUMIFS(LinkedIn_Posts!H:H,LinkedIn_Posts!A:A,$A108,LinkedIn_Posts!B:B,$B108))</f>
        <v/>
      </c>
      <c r="U108" s="7" t="str">
        <f>IF($A108="","",SUMIFS(LinkedIn_Posts!I:I,LinkedIn_Posts!A:A,$A108,LinkedIn_Posts!B:B,$B108))</f>
        <v/>
      </c>
    </row>
    <row r="109">
      <c r="A109" s="7" t="s">
        <v>47</v>
      </c>
      <c r="B109" s="7" t="s">
        <v>47</v>
      </c>
      <c r="C109" s="7" t="s">
        <v>47</v>
      </c>
      <c r="D109" s="7" t="str">
        <f>IF($A109="","",SUMIFS(YouTube_Long!G:G,YouTube_Long!A:A,$A109,YouTube_Long!B:B,$B109))</f>
        <v/>
      </c>
      <c r="E109" s="7" t="str">
        <f>IF($A109="","",SUMIFS(YouTube_Long!H:H,YouTube_Long!A:A,$A109,YouTube_Long!B:B,$B109))</f>
        <v/>
      </c>
      <c r="F109" s="7" t="str">
        <f>IF($A109="","",SUMIFS(YouTube_Long!I:I,YouTube_Long!A:A,$A109,YouTube_Long!B:B,$B109))</f>
        <v/>
      </c>
      <c r="G109" s="7" t="str">
        <f>IF($A109="","",COUNTIFS(YouTube_Shorts!A:A,$A109,YouTube_Shorts!B:B,$B109))</f>
        <v/>
      </c>
      <c r="H109" s="7" t="str">
        <f>IF($A109="","",SUMIFS(YouTube_Shorts!F:F,YouTube_Shorts!A:A,$A109,YouTube_Shorts!B:B,$B109))</f>
        <v/>
      </c>
      <c r="I109" s="7" t="str">
        <f>IF($A109="","",SUMIFS(YouTube_Shorts!G:G,YouTube_Shorts!A:A,$A109,YouTube_Shorts!B:B,$B109))</f>
        <v/>
      </c>
      <c r="J109" s="7" t="str">
        <f t="shared" si="1"/>
        <v/>
      </c>
      <c r="K109" s="7" t="str">
        <f>IF($A109="","",SUMIFS(Audio!D:D,Audio!A:A,$A109,Audio!B:B,$B109))</f>
        <v/>
      </c>
      <c r="L109" s="7" t="str">
        <f>IF($A109="","",COUNTIFS(TikTok_Posts!A:A,$A109,TikTok_Posts!B:B,$B109))</f>
        <v/>
      </c>
      <c r="M109" s="7" t="str">
        <f>IF($A109="","",SUMIFS(TikTok_Posts!E:E,TikTok_Posts!A:A,$A109,TikTok_Posts!B:B,$B109))</f>
        <v/>
      </c>
      <c r="N109" s="7" t="str">
        <f>IF($A109="","",COUNTIFS(Instagram_Posts!A:A,$A109,Instagram_Posts!B:B,$B109))</f>
        <v/>
      </c>
      <c r="O109" s="7" t="str">
        <f>IF($A109="","",SUMIFS(Instagram_Posts!E:E,Instagram_Posts!A:A,$A109,Instagram_Posts!B:B,$B109))</f>
        <v/>
      </c>
      <c r="P109" s="7" t="str">
        <f>IF($A109="","",SUMIFS(Blog!E:E,Blog!B:B,$A109,Blog!C:C,$B109))</f>
        <v/>
      </c>
      <c r="Q109" s="7" t="str">
        <f>IF($A109="","",COUNTIFS(LinkedIn_Posts!A:A,$A109,LinkedIn_Posts!B:B,$B109))</f>
        <v/>
      </c>
      <c r="R109" s="7" t="str">
        <f>IF($A109="","",SUMIFS(LinkedIn_Posts!F:F,LinkedIn_Posts!A:A,$A109,LinkedIn_Posts!B:B,$B109))</f>
        <v/>
      </c>
      <c r="S109" s="7" t="str">
        <f>IF($A109="","",SUMIFS(LinkedIn_Posts!G:G,LinkedIn_Posts!A:A,$A109,LinkedIn_Posts!B:B,$B109))</f>
        <v/>
      </c>
      <c r="T109" s="7" t="str">
        <f>IF($A109="","",SUMIFS(LinkedIn_Posts!H:H,LinkedIn_Posts!A:A,$A109,LinkedIn_Posts!B:B,$B109))</f>
        <v/>
      </c>
      <c r="U109" s="7" t="str">
        <f>IF($A109="","",SUMIFS(LinkedIn_Posts!I:I,LinkedIn_Posts!A:A,$A109,LinkedIn_Posts!B:B,$B109))</f>
        <v/>
      </c>
    </row>
    <row r="110">
      <c r="A110" s="7" t="s">
        <v>47</v>
      </c>
      <c r="B110" s="7" t="s">
        <v>47</v>
      </c>
      <c r="C110" s="7" t="s">
        <v>47</v>
      </c>
      <c r="D110" s="7" t="str">
        <f>IF($A110="","",SUMIFS(YouTube_Long!G:G,YouTube_Long!A:A,$A110,YouTube_Long!B:B,$B110))</f>
        <v/>
      </c>
      <c r="E110" s="7" t="str">
        <f>IF($A110="","",SUMIFS(YouTube_Long!H:H,YouTube_Long!A:A,$A110,YouTube_Long!B:B,$B110))</f>
        <v/>
      </c>
      <c r="F110" s="7" t="str">
        <f>IF($A110="","",SUMIFS(YouTube_Long!I:I,YouTube_Long!A:A,$A110,YouTube_Long!B:B,$B110))</f>
        <v/>
      </c>
      <c r="G110" s="7" t="str">
        <f>IF($A110="","",COUNTIFS(YouTube_Shorts!A:A,$A110,YouTube_Shorts!B:B,$B110))</f>
        <v/>
      </c>
      <c r="H110" s="7" t="str">
        <f>IF($A110="","",SUMIFS(YouTube_Shorts!F:F,YouTube_Shorts!A:A,$A110,YouTube_Shorts!B:B,$B110))</f>
        <v/>
      </c>
      <c r="I110" s="7" t="str">
        <f>IF($A110="","",SUMIFS(YouTube_Shorts!G:G,YouTube_Shorts!A:A,$A110,YouTube_Shorts!B:B,$B110))</f>
        <v/>
      </c>
      <c r="J110" s="7" t="str">
        <f t="shared" si="1"/>
        <v/>
      </c>
      <c r="K110" s="7" t="str">
        <f>IF($A110="","",SUMIFS(Audio!D:D,Audio!A:A,$A110,Audio!B:B,$B110))</f>
        <v/>
      </c>
      <c r="L110" s="7" t="str">
        <f>IF($A110="","",COUNTIFS(TikTok_Posts!A:A,$A110,TikTok_Posts!B:B,$B110))</f>
        <v/>
      </c>
      <c r="M110" s="7" t="str">
        <f>IF($A110="","",SUMIFS(TikTok_Posts!E:E,TikTok_Posts!A:A,$A110,TikTok_Posts!B:B,$B110))</f>
        <v/>
      </c>
      <c r="N110" s="7" t="str">
        <f>IF($A110="","",COUNTIFS(Instagram_Posts!A:A,$A110,Instagram_Posts!B:B,$B110))</f>
        <v/>
      </c>
      <c r="O110" s="7" t="str">
        <f>IF($A110="","",SUMIFS(Instagram_Posts!E:E,Instagram_Posts!A:A,$A110,Instagram_Posts!B:B,$B110))</f>
        <v/>
      </c>
      <c r="P110" s="7" t="str">
        <f>IF($A110="","",SUMIFS(Blog!E:E,Blog!B:B,$A110,Blog!C:C,$B110))</f>
        <v/>
      </c>
      <c r="Q110" s="7" t="str">
        <f>IF($A110="","",COUNTIFS(LinkedIn_Posts!A:A,$A110,LinkedIn_Posts!B:B,$B110))</f>
        <v/>
      </c>
      <c r="R110" s="7" t="str">
        <f>IF($A110="","",SUMIFS(LinkedIn_Posts!F:F,LinkedIn_Posts!A:A,$A110,LinkedIn_Posts!B:B,$B110))</f>
        <v/>
      </c>
      <c r="S110" s="7" t="str">
        <f>IF($A110="","",SUMIFS(LinkedIn_Posts!G:G,LinkedIn_Posts!A:A,$A110,LinkedIn_Posts!B:B,$B110))</f>
        <v/>
      </c>
      <c r="T110" s="7" t="str">
        <f>IF($A110="","",SUMIFS(LinkedIn_Posts!H:H,LinkedIn_Posts!A:A,$A110,LinkedIn_Posts!B:B,$B110))</f>
        <v/>
      </c>
      <c r="U110" s="7" t="str">
        <f>IF($A110="","",SUMIFS(LinkedIn_Posts!I:I,LinkedIn_Posts!A:A,$A110,LinkedIn_Posts!B:B,$B110))</f>
        <v/>
      </c>
    </row>
    <row r="111">
      <c r="A111" s="7" t="s">
        <v>47</v>
      </c>
      <c r="B111" s="7" t="s">
        <v>47</v>
      </c>
      <c r="C111" s="7" t="s">
        <v>47</v>
      </c>
      <c r="D111" s="7" t="str">
        <f>IF($A111="","",SUMIFS(YouTube_Long!G:G,YouTube_Long!A:A,$A111,YouTube_Long!B:B,$B111))</f>
        <v/>
      </c>
      <c r="E111" s="7" t="str">
        <f>IF($A111="","",SUMIFS(YouTube_Long!H:H,YouTube_Long!A:A,$A111,YouTube_Long!B:B,$B111))</f>
        <v/>
      </c>
      <c r="F111" s="7" t="str">
        <f>IF($A111="","",SUMIFS(YouTube_Long!I:I,YouTube_Long!A:A,$A111,YouTube_Long!B:B,$B111))</f>
        <v/>
      </c>
      <c r="G111" s="7" t="str">
        <f>IF($A111="","",COUNTIFS(YouTube_Shorts!A:A,$A111,YouTube_Shorts!B:B,$B111))</f>
        <v/>
      </c>
      <c r="H111" s="7" t="str">
        <f>IF($A111="","",SUMIFS(YouTube_Shorts!F:F,YouTube_Shorts!A:A,$A111,YouTube_Shorts!B:B,$B111))</f>
        <v/>
      </c>
      <c r="I111" s="7" t="str">
        <f>IF($A111="","",SUMIFS(YouTube_Shorts!G:G,YouTube_Shorts!A:A,$A111,YouTube_Shorts!B:B,$B111))</f>
        <v/>
      </c>
      <c r="J111" s="7" t="str">
        <f t="shared" si="1"/>
        <v/>
      </c>
      <c r="K111" s="7" t="str">
        <f>IF($A111="","",SUMIFS(Audio!D:D,Audio!A:A,$A111,Audio!B:B,$B111))</f>
        <v/>
      </c>
      <c r="L111" s="7" t="str">
        <f>IF($A111="","",COUNTIFS(TikTok_Posts!A:A,$A111,TikTok_Posts!B:B,$B111))</f>
        <v/>
      </c>
      <c r="M111" s="7" t="str">
        <f>IF($A111="","",SUMIFS(TikTok_Posts!E:E,TikTok_Posts!A:A,$A111,TikTok_Posts!B:B,$B111))</f>
        <v/>
      </c>
      <c r="N111" s="7" t="str">
        <f>IF($A111="","",COUNTIFS(Instagram_Posts!A:A,$A111,Instagram_Posts!B:B,$B111))</f>
        <v/>
      </c>
      <c r="O111" s="7" t="str">
        <f>IF($A111="","",SUMIFS(Instagram_Posts!E:E,Instagram_Posts!A:A,$A111,Instagram_Posts!B:B,$B111))</f>
        <v/>
      </c>
      <c r="P111" s="7" t="str">
        <f>IF($A111="","",SUMIFS(Blog!E:E,Blog!B:B,$A111,Blog!C:C,$B111))</f>
        <v/>
      </c>
      <c r="Q111" s="7" t="str">
        <f>IF($A111="","",COUNTIFS(LinkedIn_Posts!A:A,$A111,LinkedIn_Posts!B:B,$B111))</f>
        <v/>
      </c>
      <c r="R111" s="7" t="str">
        <f>IF($A111="","",SUMIFS(LinkedIn_Posts!F:F,LinkedIn_Posts!A:A,$A111,LinkedIn_Posts!B:B,$B111))</f>
        <v/>
      </c>
      <c r="S111" s="7" t="str">
        <f>IF($A111="","",SUMIFS(LinkedIn_Posts!G:G,LinkedIn_Posts!A:A,$A111,LinkedIn_Posts!B:B,$B111))</f>
        <v/>
      </c>
      <c r="T111" s="7" t="str">
        <f>IF($A111="","",SUMIFS(LinkedIn_Posts!H:H,LinkedIn_Posts!A:A,$A111,LinkedIn_Posts!B:B,$B111))</f>
        <v/>
      </c>
      <c r="U111" s="7" t="str">
        <f>IF($A111="","",SUMIFS(LinkedIn_Posts!I:I,LinkedIn_Posts!A:A,$A111,LinkedIn_Posts!B:B,$B111))</f>
        <v/>
      </c>
    </row>
    <row r="112">
      <c r="A112" s="7" t="s">
        <v>47</v>
      </c>
      <c r="B112" s="7" t="s">
        <v>47</v>
      </c>
      <c r="C112" s="7" t="s">
        <v>47</v>
      </c>
      <c r="D112" s="7" t="str">
        <f>IF($A112="","",SUMIFS(YouTube_Long!G:G,YouTube_Long!A:A,$A112,YouTube_Long!B:B,$B112))</f>
        <v/>
      </c>
      <c r="E112" s="7" t="str">
        <f>IF($A112="","",SUMIFS(YouTube_Long!H:H,YouTube_Long!A:A,$A112,YouTube_Long!B:B,$B112))</f>
        <v/>
      </c>
      <c r="F112" s="7" t="str">
        <f>IF($A112="","",SUMIFS(YouTube_Long!I:I,YouTube_Long!A:A,$A112,YouTube_Long!B:B,$B112))</f>
        <v/>
      </c>
      <c r="G112" s="7" t="str">
        <f>IF($A112="","",COUNTIFS(YouTube_Shorts!A:A,$A112,YouTube_Shorts!B:B,$B112))</f>
        <v/>
      </c>
      <c r="H112" s="7" t="str">
        <f>IF($A112="","",SUMIFS(YouTube_Shorts!F:F,YouTube_Shorts!A:A,$A112,YouTube_Shorts!B:B,$B112))</f>
        <v/>
      </c>
      <c r="I112" s="7" t="str">
        <f>IF($A112="","",SUMIFS(YouTube_Shorts!G:G,YouTube_Shorts!A:A,$A112,YouTube_Shorts!B:B,$B112))</f>
        <v/>
      </c>
      <c r="J112" s="7" t="str">
        <f t="shared" si="1"/>
        <v/>
      </c>
      <c r="K112" s="7" t="str">
        <f>IF($A112="","",SUMIFS(Audio!D:D,Audio!A:A,$A112,Audio!B:B,$B112))</f>
        <v/>
      </c>
      <c r="L112" s="7" t="str">
        <f>IF($A112="","",COUNTIFS(TikTok_Posts!A:A,$A112,TikTok_Posts!B:B,$B112))</f>
        <v/>
      </c>
      <c r="M112" s="7" t="str">
        <f>IF($A112="","",SUMIFS(TikTok_Posts!E:E,TikTok_Posts!A:A,$A112,TikTok_Posts!B:B,$B112))</f>
        <v/>
      </c>
      <c r="N112" s="7" t="str">
        <f>IF($A112="","",COUNTIFS(Instagram_Posts!A:A,$A112,Instagram_Posts!B:B,$B112))</f>
        <v/>
      </c>
      <c r="O112" s="7" t="str">
        <f>IF($A112="","",SUMIFS(Instagram_Posts!E:E,Instagram_Posts!A:A,$A112,Instagram_Posts!B:B,$B112))</f>
        <v/>
      </c>
      <c r="P112" s="7" t="str">
        <f>IF($A112="","",SUMIFS(Blog!E:E,Blog!B:B,$A112,Blog!C:C,$B112))</f>
        <v/>
      </c>
      <c r="Q112" s="7" t="str">
        <f>IF($A112="","",COUNTIFS(LinkedIn_Posts!A:A,$A112,LinkedIn_Posts!B:B,$B112))</f>
        <v/>
      </c>
      <c r="R112" s="7" t="str">
        <f>IF($A112="","",SUMIFS(LinkedIn_Posts!F:F,LinkedIn_Posts!A:A,$A112,LinkedIn_Posts!B:B,$B112))</f>
        <v/>
      </c>
      <c r="S112" s="7" t="str">
        <f>IF($A112="","",SUMIFS(LinkedIn_Posts!G:G,LinkedIn_Posts!A:A,$A112,LinkedIn_Posts!B:B,$B112))</f>
        <v/>
      </c>
      <c r="T112" s="7" t="str">
        <f>IF($A112="","",SUMIFS(LinkedIn_Posts!H:H,LinkedIn_Posts!A:A,$A112,LinkedIn_Posts!B:B,$B112))</f>
        <v/>
      </c>
      <c r="U112" s="7" t="str">
        <f>IF($A112="","",SUMIFS(LinkedIn_Posts!I:I,LinkedIn_Posts!A:A,$A112,LinkedIn_Posts!B:B,$B112))</f>
        <v/>
      </c>
    </row>
    <row r="113">
      <c r="A113" s="7" t="s">
        <v>47</v>
      </c>
      <c r="B113" s="7" t="s">
        <v>47</v>
      </c>
      <c r="C113" s="7" t="s">
        <v>47</v>
      </c>
      <c r="D113" s="7" t="str">
        <f>IF($A113="","",SUMIFS(YouTube_Long!G:G,YouTube_Long!A:A,$A113,YouTube_Long!B:B,$B113))</f>
        <v/>
      </c>
      <c r="E113" s="7" t="str">
        <f>IF($A113="","",SUMIFS(YouTube_Long!H:H,YouTube_Long!A:A,$A113,YouTube_Long!B:B,$B113))</f>
        <v/>
      </c>
      <c r="F113" s="7" t="str">
        <f>IF($A113="","",SUMIFS(YouTube_Long!I:I,YouTube_Long!A:A,$A113,YouTube_Long!B:B,$B113))</f>
        <v/>
      </c>
      <c r="G113" s="7" t="str">
        <f>IF($A113="","",COUNTIFS(YouTube_Shorts!A:A,$A113,YouTube_Shorts!B:B,$B113))</f>
        <v/>
      </c>
      <c r="H113" s="7" t="str">
        <f>IF($A113="","",SUMIFS(YouTube_Shorts!F:F,YouTube_Shorts!A:A,$A113,YouTube_Shorts!B:B,$B113))</f>
        <v/>
      </c>
      <c r="I113" s="7" t="str">
        <f>IF($A113="","",SUMIFS(YouTube_Shorts!G:G,YouTube_Shorts!A:A,$A113,YouTube_Shorts!B:B,$B113))</f>
        <v/>
      </c>
      <c r="J113" s="7" t="str">
        <f t="shared" si="1"/>
        <v/>
      </c>
      <c r="K113" s="7" t="str">
        <f>IF($A113="","",SUMIFS(Audio!D:D,Audio!A:A,$A113,Audio!B:B,$B113))</f>
        <v/>
      </c>
      <c r="L113" s="7" t="str">
        <f>IF($A113="","",COUNTIFS(TikTok_Posts!A:A,$A113,TikTok_Posts!B:B,$B113))</f>
        <v/>
      </c>
      <c r="M113" s="7" t="str">
        <f>IF($A113="","",SUMIFS(TikTok_Posts!E:E,TikTok_Posts!A:A,$A113,TikTok_Posts!B:B,$B113))</f>
        <v/>
      </c>
      <c r="N113" s="7" t="str">
        <f>IF($A113="","",COUNTIFS(Instagram_Posts!A:A,$A113,Instagram_Posts!B:B,$B113))</f>
        <v/>
      </c>
      <c r="O113" s="7" t="str">
        <f>IF($A113="","",SUMIFS(Instagram_Posts!E:E,Instagram_Posts!A:A,$A113,Instagram_Posts!B:B,$B113))</f>
        <v/>
      </c>
      <c r="P113" s="7" t="str">
        <f>IF($A113="","",SUMIFS(Blog!E:E,Blog!B:B,$A113,Blog!C:C,$B113))</f>
        <v/>
      </c>
      <c r="Q113" s="7" t="str">
        <f>IF($A113="","",COUNTIFS(LinkedIn_Posts!A:A,$A113,LinkedIn_Posts!B:B,$B113))</f>
        <v/>
      </c>
      <c r="R113" s="7" t="str">
        <f>IF($A113="","",SUMIFS(LinkedIn_Posts!F:F,LinkedIn_Posts!A:A,$A113,LinkedIn_Posts!B:B,$B113))</f>
        <v/>
      </c>
      <c r="S113" s="7" t="str">
        <f>IF($A113="","",SUMIFS(LinkedIn_Posts!G:G,LinkedIn_Posts!A:A,$A113,LinkedIn_Posts!B:B,$B113))</f>
        <v/>
      </c>
      <c r="T113" s="7" t="str">
        <f>IF($A113="","",SUMIFS(LinkedIn_Posts!H:H,LinkedIn_Posts!A:A,$A113,LinkedIn_Posts!B:B,$B113))</f>
        <v/>
      </c>
      <c r="U113" s="7" t="str">
        <f>IF($A113="","",SUMIFS(LinkedIn_Posts!I:I,LinkedIn_Posts!A:A,$A113,LinkedIn_Posts!B:B,$B113))</f>
        <v/>
      </c>
    </row>
    <row r="114">
      <c r="A114" s="7" t="s">
        <v>47</v>
      </c>
      <c r="B114" s="7" t="s">
        <v>47</v>
      </c>
      <c r="C114" s="7" t="s">
        <v>47</v>
      </c>
      <c r="D114" s="7" t="str">
        <f>IF($A114="","",SUMIFS(YouTube_Long!G:G,YouTube_Long!A:A,$A114,YouTube_Long!B:B,$B114))</f>
        <v/>
      </c>
      <c r="E114" s="7" t="str">
        <f>IF($A114="","",SUMIFS(YouTube_Long!H:H,YouTube_Long!A:A,$A114,YouTube_Long!B:B,$B114))</f>
        <v/>
      </c>
      <c r="F114" s="7" t="str">
        <f>IF($A114="","",SUMIFS(YouTube_Long!I:I,YouTube_Long!A:A,$A114,YouTube_Long!B:B,$B114))</f>
        <v/>
      </c>
      <c r="G114" s="7" t="str">
        <f>IF($A114="","",COUNTIFS(YouTube_Shorts!A:A,$A114,YouTube_Shorts!B:B,$B114))</f>
        <v/>
      </c>
      <c r="H114" s="7" t="str">
        <f>IF($A114="","",SUMIFS(YouTube_Shorts!F:F,YouTube_Shorts!A:A,$A114,YouTube_Shorts!B:B,$B114))</f>
        <v/>
      </c>
      <c r="I114" s="7" t="str">
        <f>IF($A114="","",SUMIFS(YouTube_Shorts!G:G,YouTube_Shorts!A:A,$A114,YouTube_Shorts!B:B,$B114))</f>
        <v/>
      </c>
      <c r="J114" s="7" t="str">
        <f t="shared" si="1"/>
        <v/>
      </c>
      <c r="K114" s="7" t="str">
        <f>IF($A114="","",SUMIFS(Audio!D:D,Audio!A:A,$A114,Audio!B:B,$B114))</f>
        <v/>
      </c>
      <c r="L114" s="7" t="str">
        <f>IF($A114="","",COUNTIFS(TikTok_Posts!A:A,$A114,TikTok_Posts!B:B,$B114))</f>
        <v/>
      </c>
      <c r="M114" s="7" t="str">
        <f>IF($A114="","",SUMIFS(TikTok_Posts!E:E,TikTok_Posts!A:A,$A114,TikTok_Posts!B:B,$B114))</f>
        <v/>
      </c>
      <c r="N114" s="7" t="str">
        <f>IF($A114="","",COUNTIFS(Instagram_Posts!A:A,$A114,Instagram_Posts!B:B,$B114))</f>
        <v/>
      </c>
      <c r="O114" s="7" t="str">
        <f>IF($A114="","",SUMIFS(Instagram_Posts!E:E,Instagram_Posts!A:A,$A114,Instagram_Posts!B:B,$B114))</f>
        <v/>
      </c>
      <c r="P114" s="7" t="str">
        <f>IF($A114="","",SUMIFS(Blog!E:E,Blog!B:B,$A114,Blog!C:C,$B114))</f>
        <v/>
      </c>
      <c r="Q114" s="7" t="str">
        <f>IF($A114="","",COUNTIFS(LinkedIn_Posts!A:A,$A114,LinkedIn_Posts!B:B,$B114))</f>
        <v/>
      </c>
      <c r="R114" s="7" t="str">
        <f>IF($A114="","",SUMIFS(LinkedIn_Posts!F:F,LinkedIn_Posts!A:A,$A114,LinkedIn_Posts!B:B,$B114))</f>
        <v/>
      </c>
      <c r="S114" s="7" t="str">
        <f>IF($A114="","",SUMIFS(LinkedIn_Posts!G:G,LinkedIn_Posts!A:A,$A114,LinkedIn_Posts!B:B,$B114))</f>
        <v/>
      </c>
      <c r="T114" s="7" t="str">
        <f>IF($A114="","",SUMIFS(LinkedIn_Posts!H:H,LinkedIn_Posts!A:A,$A114,LinkedIn_Posts!B:B,$B114))</f>
        <v/>
      </c>
      <c r="U114" s="7" t="str">
        <f>IF($A114="","",SUMIFS(LinkedIn_Posts!I:I,LinkedIn_Posts!A:A,$A114,LinkedIn_Posts!B:B,$B114))</f>
        <v/>
      </c>
    </row>
    <row r="115">
      <c r="A115" s="7" t="s">
        <v>47</v>
      </c>
      <c r="B115" s="7" t="s">
        <v>47</v>
      </c>
      <c r="C115" s="7" t="s">
        <v>47</v>
      </c>
      <c r="D115" s="7" t="str">
        <f>IF($A115="","",SUMIFS(YouTube_Long!G:G,YouTube_Long!A:A,$A115,YouTube_Long!B:B,$B115))</f>
        <v/>
      </c>
      <c r="E115" s="7" t="str">
        <f>IF($A115="","",SUMIFS(YouTube_Long!H:H,YouTube_Long!A:A,$A115,YouTube_Long!B:B,$B115))</f>
        <v/>
      </c>
      <c r="F115" s="7" t="str">
        <f>IF($A115="","",SUMIFS(YouTube_Long!I:I,YouTube_Long!A:A,$A115,YouTube_Long!B:B,$B115))</f>
        <v/>
      </c>
      <c r="G115" s="7" t="str">
        <f>IF($A115="","",COUNTIFS(YouTube_Shorts!A:A,$A115,YouTube_Shorts!B:B,$B115))</f>
        <v/>
      </c>
      <c r="H115" s="7" t="str">
        <f>IF($A115="","",SUMIFS(YouTube_Shorts!F:F,YouTube_Shorts!A:A,$A115,YouTube_Shorts!B:B,$B115))</f>
        <v/>
      </c>
      <c r="I115" s="7" t="str">
        <f>IF($A115="","",SUMIFS(YouTube_Shorts!G:G,YouTube_Shorts!A:A,$A115,YouTube_Shorts!B:B,$B115))</f>
        <v/>
      </c>
      <c r="J115" s="7" t="str">
        <f t="shared" si="1"/>
        <v/>
      </c>
      <c r="K115" s="7" t="str">
        <f>IF($A115="","",SUMIFS(Audio!D:D,Audio!A:A,$A115,Audio!B:B,$B115))</f>
        <v/>
      </c>
      <c r="L115" s="7" t="str">
        <f>IF($A115="","",COUNTIFS(TikTok_Posts!A:A,$A115,TikTok_Posts!B:B,$B115))</f>
        <v/>
      </c>
      <c r="M115" s="7" t="str">
        <f>IF($A115="","",SUMIFS(TikTok_Posts!E:E,TikTok_Posts!A:A,$A115,TikTok_Posts!B:B,$B115))</f>
        <v/>
      </c>
      <c r="N115" s="7" t="str">
        <f>IF($A115="","",COUNTIFS(Instagram_Posts!A:A,$A115,Instagram_Posts!B:B,$B115))</f>
        <v/>
      </c>
      <c r="O115" s="7" t="str">
        <f>IF($A115="","",SUMIFS(Instagram_Posts!E:E,Instagram_Posts!A:A,$A115,Instagram_Posts!B:B,$B115))</f>
        <v/>
      </c>
      <c r="P115" s="7" t="str">
        <f>IF($A115="","",SUMIFS(Blog!E:E,Blog!B:B,$A115,Blog!C:C,$B115))</f>
        <v/>
      </c>
      <c r="Q115" s="7" t="str">
        <f>IF($A115="","",COUNTIFS(LinkedIn_Posts!A:A,$A115,LinkedIn_Posts!B:B,$B115))</f>
        <v/>
      </c>
      <c r="R115" s="7" t="str">
        <f>IF($A115="","",SUMIFS(LinkedIn_Posts!F:F,LinkedIn_Posts!A:A,$A115,LinkedIn_Posts!B:B,$B115))</f>
        <v/>
      </c>
      <c r="S115" s="7" t="str">
        <f>IF($A115="","",SUMIFS(LinkedIn_Posts!G:G,LinkedIn_Posts!A:A,$A115,LinkedIn_Posts!B:B,$B115))</f>
        <v/>
      </c>
      <c r="T115" s="7" t="str">
        <f>IF($A115="","",SUMIFS(LinkedIn_Posts!H:H,LinkedIn_Posts!A:A,$A115,LinkedIn_Posts!B:B,$B115))</f>
        <v/>
      </c>
      <c r="U115" s="7" t="str">
        <f>IF($A115="","",SUMIFS(LinkedIn_Posts!I:I,LinkedIn_Posts!A:A,$A115,LinkedIn_Posts!B:B,$B115))</f>
        <v/>
      </c>
    </row>
    <row r="116">
      <c r="A116" s="7" t="s">
        <v>47</v>
      </c>
      <c r="B116" s="7" t="s">
        <v>47</v>
      </c>
      <c r="C116" s="7" t="s">
        <v>47</v>
      </c>
      <c r="D116" s="7" t="str">
        <f>IF($A116="","",SUMIFS(YouTube_Long!G:G,YouTube_Long!A:A,$A116,YouTube_Long!B:B,$B116))</f>
        <v/>
      </c>
      <c r="E116" s="7" t="str">
        <f>IF($A116="","",SUMIFS(YouTube_Long!H:H,YouTube_Long!A:A,$A116,YouTube_Long!B:B,$B116))</f>
        <v/>
      </c>
      <c r="F116" s="7" t="str">
        <f>IF($A116="","",SUMIFS(YouTube_Long!I:I,YouTube_Long!A:A,$A116,YouTube_Long!B:B,$B116))</f>
        <v/>
      </c>
      <c r="G116" s="7" t="str">
        <f>IF($A116="","",COUNTIFS(YouTube_Shorts!A:A,$A116,YouTube_Shorts!B:B,$B116))</f>
        <v/>
      </c>
      <c r="H116" s="7" t="str">
        <f>IF($A116="","",SUMIFS(YouTube_Shorts!F:F,YouTube_Shorts!A:A,$A116,YouTube_Shorts!B:B,$B116))</f>
        <v/>
      </c>
      <c r="I116" s="7" t="str">
        <f>IF($A116="","",SUMIFS(YouTube_Shorts!G:G,YouTube_Shorts!A:A,$A116,YouTube_Shorts!B:B,$B116))</f>
        <v/>
      </c>
      <c r="J116" s="7" t="str">
        <f t="shared" si="1"/>
        <v/>
      </c>
      <c r="K116" s="7" t="str">
        <f>IF($A116="","",SUMIFS(Audio!D:D,Audio!A:A,$A116,Audio!B:B,$B116))</f>
        <v/>
      </c>
      <c r="L116" s="7" t="str">
        <f>IF($A116="","",COUNTIFS(TikTok_Posts!A:A,$A116,TikTok_Posts!B:B,$B116))</f>
        <v/>
      </c>
      <c r="M116" s="7" t="str">
        <f>IF($A116="","",SUMIFS(TikTok_Posts!E:E,TikTok_Posts!A:A,$A116,TikTok_Posts!B:B,$B116))</f>
        <v/>
      </c>
      <c r="N116" s="7" t="str">
        <f>IF($A116="","",COUNTIFS(Instagram_Posts!A:A,$A116,Instagram_Posts!B:B,$B116))</f>
        <v/>
      </c>
      <c r="O116" s="7" t="str">
        <f>IF($A116="","",SUMIFS(Instagram_Posts!E:E,Instagram_Posts!A:A,$A116,Instagram_Posts!B:B,$B116))</f>
        <v/>
      </c>
      <c r="P116" s="7" t="str">
        <f>IF($A116="","",SUMIFS(Blog!E:E,Blog!B:B,$A116,Blog!C:C,$B116))</f>
        <v/>
      </c>
      <c r="Q116" s="7" t="str">
        <f>IF($A116="","",COUNTIFS(LinkedIn_Posts!A:A,$A116,LinkedIn_Posts!B:B,$B116))</f>
        <v/>
      </c>
      <c r="R116" s="7" t="str">
        <f>IF($A116="","",SUMIFS(LinkedIn_Posts!F:F,LinkedIn_Posts!A:A,$A116,LinkedIn_Posts!B:B,$B116))</f>
        <v/>
      </c>
      <c r="S116" s="7" t="str">
        <f>IF($A116="","",SUMIFS(LinkedIn_Posts!G:G,LinkedIn_Posts!A:A,$A116,LinkedIn_Posts!B:B,$B116))</f>
        <v/>
      </c>
      <c r="T116" s="7" t="str">
        <f>IF($A116="","",SUMIFS(LinkedIn_Posts!H:H,LinkedIn_Posts!A:A,$A116,LinkedIn_Posts!B:B,$B116))</f>
        <v/>
      </c>
      <c r="U116" s="7" t="str">
        <f>IF($A116="","",SUMIFS(LinkedIn_Posts!I:I,LinkedIn_Posts!A:A,$A116,LinkedIn_Posts!B:B,$B116))</f>
        <v/>
      </c>
    </row>
    <row r="117">
      <c r="A117" s="7" t="s">
        <v>47</v>
      </c>
      <c r="B117" s="7" t="s">
        <v>47</v>
      </c>
      <c r="C117" s="7" t="s">
        <v>47</v>
      </c>
      <c r="D117" s="7" t="str">
        <f>IF($A117="","",SUMIFS(YouTube_Long!G:G,YouTube_Long!A:A,$A117,YouTube_Long!B:B,$B117))</f>
        <v/>
      </c>
      <c r="E117" s="7" t="str">
        <f>IF($A117="","",SUMIFS(YouTube_Long!H:H,YouTube_Long!A:A,$A117,YouTube_Long!B:B,$B117))</f>
        <v/>
      </c>
      <c r="F117" s="7" t="str">
        <f>IF($A117="","",SUMIFS(YouTube_Long!I:I,YouTube_Long!A:A,$A117,YouTube_Long!B:B,$B117))</f>
        <v/>
      </c>
      <c r="G117" s="7" t="str">
        <f>IF($A117="","",COUNTIFS(YouTube_Shorts!A:A,$A117,YouTube_Shorts!B:B,$B117))</f>
        <v/>
      </c>
      <c r="H117" s="7" t="str">
        <f>IF($A117="","",SUMIFS(YouTube_Shorts!F:F,YouTube_Shorts!A:A,$A117,YouTube_Shorts!B:B,$B117))</f>
        <v/>
      </c>
      <c r="I117" s="7" t="str">
        <f>IF($A117="","",SUMIFS(YouTube_Shorts!G:G,YouTube_Shorts!A:A,$A117,YouTube_Shorts!B:B,$B117))</f>
        <v/>
      </c>
      <c r="J117" s="7" t="str">
        <f t="shared" si="1"/>
        <v/>
      </c>
      <c r="K117" s="7" t="str">
        <f>IF($A117="","",SUMIFS(Audio!D:D,Audio!A:A,$A117,Audio!B:B,$B117))</f>
        <v/>
      </c>
      <c r="L117" s="7" t="str">
        <f>IF($A117="","",COUNTIFS(TikTok_Posts!A:A,$A117,TikTok_Posts!B:B,$B117))</f>
        <v/>
      </c>
      <c r="M117" s="7" t="str">
        <f>IF($A117="","",SUMIFS(TikTok_Posts!E:E,TikTok_Posts!A:A,$A117,TikTok_Posts!B:B,$B117))</f>
        <v/>
      </c>
      <c r="N117" s="7" t="str">
        <f>IF($A117="","",COUNTIFS(Instagram_Posts!A:A,$A117,Instagram_Posts!B:B,$B117))</f>
        <v/>
      </c>
      <c r="O117" s="7" t="str">
        <f>IF($A117="","",SUMIFS(Instagram_Posts!E:E,Instagram_Posts!A:A,$A117,Instagram_Posts!B:B,$B117))</f>
        <v/>
      </c>
      <c r="P117" s="7" t="str">
        <f>IF($A117="","",SUMIFS(Blog!E:E,Blog!B:B,$A117,Blog!C:C,$B117))</f>
        <v/>
      </c>
      <c r="Q117" s="7" t="str">
        <f>IF($A117="","",COUNTIFS(LinkedIn_Posts!A:A,$A117,LinkedIn_Posts!B:B,$B117))</f>
        <v/>
      </c>
      <c r="R117" s="7" t="str">
        <f>IF($A117="","",SUMIFS(LinkedIn_Posts!F:F,LinkedIn_Posts!A:A,$A117,LinkedIn_Posts!B:B,$B117))</f>
        <v/>
      </c>
      <c r="S117" s="7" t="str">
        <f>IF($A117="","",SUMIFS(LinkedIn_Posts!G:G,LinkedIn_Posts!A:A,$A117,LinkedIn_Posts!B:B,$B117))</f>
        <v/>
      </c>
      <c r="T117" s="7" t="str">
        <f>IF($A117="","",SUMIFS(LinkedIn_Posts!H:H,LinkedIn_Posts!A:A,$A117,LinkedIn_Posts!B:B,$B117))</f>
        <v/>
      </c>
      <c r="U117" s="7" t="str">
        <f>IF($A117="","",SUMIFS(LinkedIn_Posts!I:I,LinkedIn_Posts!A:A,$A117,LinkedIn_Posts!B:B,$B117))</f>
        <v/>
      </c>
    </row>
    <row r="118">
      <c r="A118" s="7" t="s">
        <v>47</v>
      </c>
      <c r="B118" s="7" t="s">
        <v>47</v>
      </c>
      <c r="C118" s="7" t="s">
        <v>47</v>
      </c>
      <c r="D118" s="7" t="str">
        <f>IF($A118="","",SUMIFS(YouTube_Long!G:G,YouTube_Long!A:A,$A118,YouTube_Long!B:B,$B118))</f>
        <v/>
      </c>
      <c r="E118" s="7" t="str">
        <f>IF($A118="","",SUMIFS(YouTube_Long!H:H,YouTube_Long!A:A,$A118,YouTube_Long!B:B,$B118))</f>
        <v/>
      </c>
      <c r="F118" s="7" t="str">
        <f>IF($A118="","",SUMIFS(YouTube_Long!I:I,YouTube_Long!A:A,$A118,YouTube_Long!B:B,$B118))</f>
        <v/>
      </c>
      <c r="G118" s="7" t="str">
        <f>IF($A118="","",COUNTIFS(YouTube_Shorts!A:A,$A118,YouTube_Shorts!B:B,$B118))</f>
        <v/>
      </c>
      <c r="H118" s="7" t="str">
        <f>IF($A118="","",SUMIFS(YouTube_Shorts!F:F,YouTube_Shorts!A:A,$A118,YouTube_Shorts!B:B,$B118))</f>
        <v/>
      </c>
      <c r="I118" s="7" t="str">
        <f>IF($A118="","",SUMIFS(YouTube_Shorts!G:G,YouTube_Shorts!A:A,$A118,YouTube_Shorts!B:B,$B118))</f>
        <v/>
      </c>
      <c r="J118" s="7" t="str">
        <f t="shared" si="1"/>
        <v/>
      </c>
      <c r="K118" s="7" t="str">
        <f>IF($A118="","",SUMIFS(Audio!D:D,Audio!A:A,$A118,Audio!B:B,$B118))</f>
        <v/>
      </c>
      <c r="L118" s="7" t="str">
        <f>IF($A118="","",COUNTIFS(TikTok_Posts!A:A,$A118,TikTok_Posts!B:B,$B118))</f>
        <v/>
      </c>
      <c r="M118" s="7" t="str">
        <f>IF($A118="","",SUMIFS(TikTok_Posts!E:E,TikTok_Posts!A:A,$A118,TikTok_Posts!B:B,$B118))</f>
        <v/>
      </c>
      <c r="N118" s="7" t="str">
        <f>IF($A118="","",COUNTIFS(Instagram_Posts!A:A,$A118,Instagram_Posts!B:B,$B118))</f>
        <v/>
      </c>
      <c r="O118" s="7" t="str">
        <f>IF($A118="","",SUMIFS(Instagram_Posts!E:E,Instagram_Posts!A:A,$A118,Instagram_Posts!B:B,$B118))</f>
        <v/>
      </c>
      <c r="P118" s="7" t="str">
        <f>IF($A118="","",SUMIFS(Blog!E:E,Blog!B:B,$A118,Blog!C:C,$B118))</f>
        <v/>
      </c>
      <c r="Q118" s="7" t="str">
        <f>IF($A118="","",COUNTIFS(LinkedIn_Posts!A:A,$A118,LinkedIn_Posts!B:B,$B118))</f>
        <v/>
      </c>
      <c r="R118" s="7" t="str">
        <f>IF($A118="","",SUMIFS(LinkedIn_Posts!F:F,LinkedIn_Posts!A:A,$A118,LinkedIn_Posts!B:B,$B118))</f>
        <v/>
      </c>
      <c r="S118" s="7" t="str">
        <f>IF($A118="","",SUMIFS(LinkedIn_Posts!G:G,LinkedIn_Posts!A:A,$A118,LinkedIn_Posts!B:B,$B118))</f>
        <v/>
      </c>
      <c r="T118" s="7" t="str">
        <f>IF($A118="","",SUMIFS(LinkedIn_Posts!H:H,LinkedIn_Posts!A:A,$A118,LinkedIn_Posts!B:B,$B118))</f>
        <v/>
      </c>
      <c r="U118" s="7" t="str">
        <f>IF($A118="","",SUMIFS(LinkedIn_Posts!I:I,LinkedIn_Posts!A:A,$A118,LinkedIn_Posts!B:B,$B118))</f>
        <v/>
      </c>
    </row>
    <row r="119">
      <c r="A119" s="7" t="s">
        <v>47</v>
      </c>
      <c r="B119" s="7" t="s">
        <v>47</v>
      </c>
      <c r="C119" s="7" t="s">
        <v>47</v>
      </c>
      <c r="D119" s="7" t="str">
        <f>IF($A119="","",SUMIFS(YouTube_Long!G:G,YouTube_Long!A:A,$A119,YouTube_Long!B:B,$B119))</f>
        <v/>
      </c>
      <c r="E119" s="7" t="str">
        <f>IF($A119="","",SUMIFS(YouTube_Long!H:H,YouTube_Long!A:A,$A119,YouTube_Long!B:B,$B119))</f>
        <v/>
      </c>
      <c r="F119" s="7" t="str">
        <f>IF($A119="","",SUMIFS(YouTube_Long!I:I,YouTube_Long!A:A,$A119,YouTube_Long!B:B,$B119))</f>
        <v/>
      </c>
      <c r="G119" s="7" t="str">
        <f>IF($A119="","",COUNTIFS(YouTube_Shorts!A:A,$A119,YouTube_Shorts!B:B,$B119))</f>
        <v/>
      </c>
      <c r="H119" s="7" t="str">
        <f>IF($A119="","",SUMIFS(YouTube_Shorts!F:F,YouTube_Shorts!A:A,$A119,YouTube_Shorts!B:B,$B119))</f>
        <v/>
      </c>
      <c r="I119" s="7" t="str">
        <f>IF($A119="","",SUMIFS(YouTube_Shorts!G:G,YouTube_Shorts!A:A,$A119,YouTube_Shorts!B:B,$B119))</f>
        <v/>
      </c>
      <c r="J119" s="7" t="str">
        <f t="shared" si="1"/>
        <v/>
      </c>
      <c r="K119" s="7" t="str">
        <f>IF($A119="","",SUMIFS(Audio!D:D,Audio!A:A,$A119,Audio!B:B,$B119))</f>
        <v/>
      </c>
      <c r="L119" s="7" t="str">
        <f>IF($A119="","",COUNTIFS(TikTok_Posts!A:A,$A119,TikTok_Posts!B:B,$B119))</f>
        <v/>
      </c>
      <c r="M119" s="7" t="str">
        <f>IF($A119="","",SUMIFS(TikTok_Posts!E:E,TikTok_Posts!A:A,$A119,TikTok_Posts!B:B,$B119))</f>
        <v/>
      </c>
      <c r="N119" s="7" t="str">
        <f>IF($A119="","",COUNTIFS(Instagram_Posts!A:A,$A119,Instagram_Posts!B:B,$B119))</f>
        <v/>
      </c>
      <c r="O119" s="7" t="str">
        <f>IF($A119="","",SUMIFS(Instagram_Posts!E:E,Instagram_Posts!A:A,$A119,Instagram_Posts!B:B,$B119))</f>
        <v/>
      </c>
      <c r="P119" s="7" t="str">
        <f>IF($A119="","",SUMIFS(Blog!E:E,Blog!B:B,$A119,Blog!C:C,$B119))</f>
        <v/>
      </c>
      <c r="Q119" s="7" t="str">
        <f>IF($A119="","",COUNTIFS(LinkedIn_Posts!A:A,$A119,LinkedIn_Posts!B:B,$B119))</f>
        <v/>
      </c>
      <c r="R119" s="7" t="str">
        <f>IF($A119="","",SUMIFS(LinkedIn_Posts!F:F,LinkedIn_Posts!A:A,$A119,LinkedIn_Posts!B:B,$B119))</f>
        <v/>
      </c>
      <c r="S119" s="7" t="str">
        <f>IF($A119="","",SUMIFS(LinkedIn_Posts!G:G,LinkedIn_Posts!A:A,$A119,LinkedIn_Posts!B:B,$B119))</f>
        <v/>
      </c>
      <c r="T119" s="7" t="str">
        <f>IF($A119="","",SUMIFS(LinkedIn_Posts!H:H,LinkedIn_Posts!A:A,$A119,LinkedIn_Posts!B:B,$B119))</f>
        <v/>
      </c>
      <c r="U119" s="7" t="str">
        <f>IF($A119="","",SUMIFS(LinkedIn_Posts!I:I,LinkedIn_Posts!A:A,$A119,LinkedIn_Posts!B:B,$B119))</f>
        <v/>
      </c>
    </row>
    <row r="120">
      <c r="A120" s="7" t="s">
        <v>47</v>
      </c>
      <c r="B120" s="7" t="s">
        <v>47</v>
      </c>
      <c r="C120" s="7" t="s">
        <v>47</v>
      </c>
      <c r="D120" s="7" t="str">
        <f>IF($A120="","",SUMIFS(YouTube_Long!G:G,YouTube_Long!A:A,$A120,YouTube_Long!B:B,$B120))</f>
        <v/>
      </c>
      <c r="E120" s="7" t="str">
        <f>IF($A120="","",SUMIFS(YouTube_Long!H:H,YouTube_Long!A:A,$A120,YouTube_Long!B:B,$B120))</f>
        <v/>
      </c>
      <c r="F120" s="7" t="str">
        <f>IF($A120="","",SUMIFS(YouTube_Long!I:I,YouTube_Long!A:A,$A120,YouTube_Long!B:B,$B120))</f>
        <v/>
      </c>
      <c r="G120" s="7" t="str">
        <f>IF($A120="","",COUNTIFS(YouTube_Shorts!A:A,$A120,YouTube_Shorts!B:B,$B120))</f>
        <v/>
      </c>
      <c r="H120" s="7" t="str">
        <f>IF($A120="","",SUMIFS(YouTube_Shorts!F:F,YouTube_Shorts!A:A,$A120,YouTube_Shorts!B:B,$B120))</f>
        <v/>
      </c>
      <c r="I120" s="7" t="str">
        <f>IF($A120="","",SUMIFS(YouTube_Shorts!G:G,YouTube_Shorts!A:A,$A120,YouTube_Shorts!B:B,$B120))</f>
        <v/>
      </c>
      <c r="J120" s="7" t="str">
        <f t="shared" si="1"/>
        <v/>
      </c>
      <c r="K120" s="7" t="str">
        <f>IF($A120="","",SUMIFS(Audio!D:D,Audio!A:A,$A120,Audio!B:B,$B120))</f>
        <v/>
      </c>
      <c r="L120" s="7" t="str">
        <f>IF($A120="","",COUNTIFS(TikTok_Posts!A:A,$A120,TikTok_Posts!B:B,$B120))</f>
        <v/>
      </c>
      <c r="M120" s="7" t="str">
        <f>IF($A120="","",SUMIFS(TikTok_Posts!E:E,TikTok_Posts!A:A,$A120,TikTok_Posts!B:B,$B120))</f>
        <v/>
      </c>
      <c r="N120" s="7" t="str">
        <f>IF($A120="","",COUNTIFS(Instagram_Posts!A:A,$A120,Instagram_Posts!B:B,$B120))</f>
        <v/>
      </c>
      <c r="O120" s="7" t="str">
        <f>IF($A120="","",SUMIFS(Instagram_Posts!E:E,Instagram_Posts!A:A,$A120,Instagram_Posts!B:B,$B120))</f>
        <v/>
      </c>
      <c r="P120" s="7" t="str">
        <f>IF($A120="","",SUMIFS(Blog!E:E,Blog!B:B,$A120,Blog!C:C,$B120))</f>
        <v/>
      </c>
      <c r="Q120" s="7" t="str">
        <f>IF($A120="","",COUNTIFS(LinkedIn_Posts!A:A,$A120,LinkedIn_Posts!B:B,$B120))</f>
        <v/>
      </c>
      <c r="R120" s="7" t="str">
        <f>IF($A120="","",SUMIFS(LinkedIn_Posts!F:F,LinkedIn_Posts!A:A,$A120,LinkedIn_Posts!B:B,$B120))</f>
        <v/>
      </c>
      <c r="S120" s="7" t="str">
        <f>IF($A120="","",SUMIFS(LinkedIn_Posts!G:G,LinkedIn_Posts!A:A,$A120,LinkedIn_Posts!B:B,$B120))</f>
        <v/>
      </c>
      <c r="T120" s="7" t="str">
        <f>IF($A120="","",SUMIFS(LinkedIn_Posts!H:H,LinkedIn_Posts!A:A,$A120,LinkedIn_Posts!B:B,$B120))</f>
        <v/>
      </c>
      <c r="U120" s="7" t="str">
        <f>IF($A120="","",SUMIFS(LinkedIn_Posts!I:I,LinkedIn_Posts!A:A,$A120,LinkedIn_Posts!B:B,$B120))</f>
        <v/>
      </c>
    </row>
    <row r="121">
      <c r="A121" s="7" t="s">
        <v>47</v>
      </c>
      <c r="B121" s="7" t="s">
        <v>47</v>
      </c>
      <c r="C121" s="7" t="s">
        <v>47</v>
      </c>
      <c r="D121" s="7" t="str">
        <f>IF($A121="","",SUMIFS(YouTube_Long!G:G,YouTube_Long!A:A,$A121,YouTube_Long!B:B,$B121))</f>
        <v/>
      </c>
      <c r="E121" s="7" t="str">
        <f>IF($A121="","",SUMIFS(YouTube_Long!H:H,YouTube_Long!A:A,$A121,YouTube_Long!B:B,$B121))</f>
        <v/>
      </c>
      <c r="F121" s="7" t="str">
        <f>IF($A121="","",SUMIFS(YouTube_Long!I:I,YouTube_Long!A:A,$A121,YouTube_Long!B:B,$B121))</f>
        <v/>
      </c>
      <c r="G121" s="7" t="str">
        <f>IF($A121="","",COUNTIFS(YouTube_Shorts!A:A,$A121,YouTube_Shorts!B:B,$B121))</f>
        <v/>
      </c>
      <c r="H121" s="7" t="str">
        <f>IF($A121="","",SUMIFS(YouTube_Shorts!F:F,YouTube_Shorts!A:A,$A121,YouTube_Shorts!B:B,$B121))</f>
        <v/>
      </c>
      <c r="I121" s="7" t="str">
        <f>IF($A121="","",SUMIFS(YouTube_Shorts!G:G,YouTube_Shorts!A:A,$A121,YouTube_Shorts!B:B,$B121))</f>
        <v/>
      </c>
      <c r="J121" s="7" t="str">
        <f t="shared" si="1"/>
        <v/>
      </c>
      <c r="K121" s="7" t="str">
        <f>IF($A121="","",SUMIFS(Audio!D:D,Audio!A:A,$A121,Audio!B:B,$B121))</f>
        <v/>
      </c>
      <c r="L121" s="7" t="str">
        <f>IF($A121="","",COUNTIFS(TikTok_Posts!A:A,$A121,TikTok_Posts!B:B,$B121))</f>
        <v/>
      </c>
      <c r="M121" s="7" t="str">
        <f>IF($A121="","",SUMIFS(TikTok_Posts!E:E,TikTok_Posts!A:A,$A121,TikTok_Posts!B:B,$B121))</f>
        <v/>
      </c>
      <c r="N121" s="7" t="str">
        <f>IF($A121="","",COUNTIFS(Instagram_Posts!A:A,$A121,Instagram_Posts!B:B,$B121))</f>
        <v/>
      </c>
      <c r="O121" s="7" t="str">
        <f>IF($A121="","",SUMIFS(Instagram_Posts!E:E,Instagram_Posts!A:A,$A121,Instagram_Posts!B:B,$B121))</f>
        <v/>
      </c>
      <c r="P121" s="7" t="str">
        <f>IF($A121="","",SUMIFS(Blog!E:E,Blog!B:B,$A121,Blog!C:C,$B121))</f>
        <v/>
      </c>
      <c r="Q121" s="7" t="str">
        <f>IF($A121="","",COUNTIFS(LinkedIn_Posts!A:A,$A121,LinkedIn_Posts!B:B,$B121))</f>
        <v/>
      </c>
      <c r="R121" s="7" t="str">
        <f>IF($A121="","",SUMIFS(LinkedIn_Posts!F:F,LinkedIn_Posts!A:A,$A121,LinkedIn_Posts!B:B,$B121))</f>
        <v/>
      </c>
      <c r="S121" s="7" t="str">
        <f>IF($A121="","",SUMIFS(LinkedIn_Posts!G:G,LinkedIn_Posts!A:A,$A121,LinkedIn_Posts!B:B,$B121))</f>
        <v/>
      </c>
      <c r="T121" s="7" t="str">
        <f>IF($A121="","",SUMIFS(LinkedIn_Posts!H:H,LinkedIn_Posts!A:A,$A121,LinkedIn_Posts!B:B,$B121))</f>
        <v/>
      </c>
      <c r="U121" s="7" t="str">
        <f>IF($A121="","",SUMIFS(LinkedIn_Posts!I:I,LinkedIn_Posts!A:A,$A121,LinkedIn_Posts!B:B,$B121))</f>
        <v/>
      </c>
    </row>
    <row r="122">
      <c r="A122" s="7" t="s">
        <v>47</v>
      </c>
      <c r="B122" s="7" t="s">
        <v>47</v>
      </c>
      <c r="C122" s="7" t="s">
        <v>47</v>
      </c>
      <c r="D122" s="7" t="str">
        <f>IF($A122="","",SUMIFS(YouTube_Long!G:G,YouTube_Long!A:A,$A122,YouTube_Long!B:B,$B122))</f>
        <v/>
      </c>
      <c r="E122" s="7" t="str">
        <f>IF($A122="","",SUMIFS(YouTube_Long!H:H,YouTube_Long!A:A,$A122,YouTube_Long!B:B,$B122))</f>
        <v/>
      </c>
      <c r="F122" s="7" t="str">
        <f>IF($A122="","",SUMIFS(YouTube_Long!I:I,YouTube_Long!A:A,$A122,YouTube_Long!B:B,$B122))</f>
        <v/>
      </c>
      <c r="G122" s="7" t="str">
        <f>IF($A122="","",COUNTIFS(YouTube_Shorts!A:A,$A122,YouTube_Shorts!B:B,$B122))</f>
        <v/>
      </c>
      <c r="H122" s="7" t="str">
        <f>IF($A122="","",SUMIFS(YouTube_Shorts!F:F,YouTube_Shorts!A:A,$A122,YouTube_Shorts!B:B,$B122))</f>
        <v/>
      </c>
      <c r="I122" s="7" t="str">
        <f>IF($A122="","",SUMIFS(YouTube_Shorts!G:G,YouTube_Shorts!A:A,$A122,YouTube_Shorts!B:B,$B122))</f>
        <v/>
      </c>
      <c r="J122" s="7" t="str">
        <f t="shared" si="1"/>
        <v/>
      </c>
      <c r="K122" s="7" t="str">
        <f>IF($A122="","",SUMIFS(Audio!D:D,Audio!A:A,$A122,Audio!B:B,$B122))</f>
        <v/>
      </c>
      <c r="L122" s="7" t="str">
        <f>IF($A122="","",COUNTIFS(TikTok_Posts!A:A,$A122,TikTok_Posts!B:B,$B122))</f>
        <v/>
      </c>
      <c r="M122" s="7" t="str">
        <f>IF($A122="","",SUMIFS(TikTok_Posts!E:E,TikTok_Posts!A:A,$A122,TikTok_Posts!B:B,$B122))</f>
        <v/>
      </c>
      <c r="N122" s="7" t="str">
        <f>IF($A122="","",COUNTIFS(Instagram_Posts!A:A,$A122,Instagram_Posts!B:B,$B122))</f>
        <v/>
      </c>
      <c r="O122" s="7" t="str">
        <f>IF($A122="","",SUMIFS(Instagram_Posts!E:E,Instagram_Posts!A:A,$A122,Instagram_Posts!B:B,$B122))</f>
        <v/>
      </c>
      <c r="P122" s="7" t="str">
        <f>IF($A122="","",SUMIFS(Blog!E:E,Blog!B:B,$A122,Blog!C:C,$B122))</f>
        <v/>
      </c>
      <c r="Q122" s="7" t="str">
        <f>IF($A122="","",COUNTIFS(LinkedIn_Posts!A:A,$A122,LinkedIn_Posts!B:B,$B122))</f>
        <v/>
      </c>
      <c r="R122" s="7" t="str">
        <f>IF($A122="","",SUMIFS(LinkedIn_Posts!F:F,LinkedIn_Posts!A:A,$A122,LinkedIn_Posts!B:B,$B122))</f>
        <v/>
      </c>
      <c r="S122" s="7" t="str">
        <f>IF($A122="","",SUMIFS(LinkedIn_Posts!G:G,LinkedIn_Posts!A:A,$A122,LinkedIn_Posts!B:B,$B122))</f>
        <v/>
      </c>
      <c r="T122" s="7" t="str">
        <f>IF($A122="","",SUMIFS(LinkedIn_Posts!H:H,LinkedIn_Posts!A:A,$A122,LinkedIn_Posts!B:B,$B122))</f>
        <v/>
      </c>
      <c r="U122" s="7" t="str">
        <f>IF($A122="","",SUMIFS(LinkedIn_Posts!I:I,LinkedIn_Posts!A:A,$A122,LinkedIn_Posts!B:B,$B122))</f>
        <v/>
      </c>
    </row>
    <row r="123">
      <c r="A123" s="7" t="s">
        <v>47</v>
      </c>
      <c r="B123" s="7" t="s">
        <v>47</v>
      </c>
      <c r="C123" s="7" t="s">
        <v>47</v>
      </c>
      <c r="D123" s="7" t="str">
        <f>IF($A123="","",SUMIFS(YouTube_Long!G:G,YouTube_Long!A:A,$A123,YouTube_Long!B:B,$B123))</f>
        <v/>
      </c>
      <c r="E123" s="7" t="str">
        <f>IF($A123="","",SUMIFS(YouTube_Long!H:H,YouTube_Long!A:A,$A123,YouTube_Long!B:B,$B123))</f>
        <v/>
      </c>
      <c r="F123" s="7" t="str">
        <f>IF($A123="","",SUMIFS(YouTube_Long!I:I,YouTube_Long!A:A,$A123,YouTube_Long!B:B,$B123))</f>
        <v/>
      </c>
      <c r="G123" s="7" t="str">
        <f>IF($A123="","",COUNTIFS(YouTube_Shorts!A:A,$A123,YouTube_Shorts!B:B,$B123))</f>
        <v/>
      </c>
      <c r="H123" s="7" t="str">
        <f>IF($A123="","",SUMIFS(YouTube_Shorts!F:F,YouTube_Shorts!A:A,$A123,YouTube_Shorts!B:B,$B123))</f>
        <v/>
      </c>
      <c r="I123" s="7" t="str">
        <f>IF($A123="","",SUMIFS(YouTube_Shorts!G:G,YouTube_Shorts!A:A,$A123,YouTube_Shorts!B:B,$B123))</f>
        <v/>
      </c>
      <c r="J123" s="7" t="str">
        <f t="shared" si="1"/>
        <v/>
      </c>
      <c r="K123" s="7" t="str">
        <f>IF($A123="","",SUMIFS(Audio!D:D,Audio!A:A,$A123,Audio!B:B,$B123))</f>
        <v/>
      </c>
      <c r="L123" s="7" t="str">
        <f>IF($A123="","",COUNTIFS(TikTok_Posts!A:A,$A123,TikTok_Posts!B:B,$B123))</f>
        <v/>
      </c>
      <c r="M123" s="7" t="str">
        <f>IF($A123="","",SUMIFS(TikTok_Posts!E:E,TikTok_Posts!A:A,$A123,TikTok_Posts!B:B,$B123))</f>
        <v/>
      </c>
      <c r="N123" s="7" t="str">
        <f>IF($A123="","",COUNTIFS(Instagram_Posts!A:A,$A123,Instagram_Posts!B:B,$B123))</f>
        <v/>
      </c>
      <c r="O123" s="7" t="str">
        <f>IF($A123="","",SUMIFS(Instagram_Posts!E:E,Instagram_Posts!A:A,$A123,Instagram_Posts!B:B,$B123))</f>
        <v/>
      </c>
      <c r="P123" s="7" t="str">
        <f>IF($A123="","",SUMIFS(Blog!E:E,Blog!B:B,$A123,Blog!C:C,$B123))</f>
        <v/>
      </c>
      <c r="Q123" s="7" t="str">
        <f>IF($A123="","",COUNTIFS(LinkedIn_Posts!A:A,$A123,LinkedIn_Posts!B:B,$B123))</f>
        <v/>
      </c>
      <c r="R123" s="7" t="str">
        <f>IF($A123="","",SUMIFS(LinkedIn_Posts!F:F,LinkedIn_Posts!A:A,$A123,LinkedIn_Posts!B:B,$B123))</f>
        <v/>
      </c>
      <c r="S123" s="7" t="str">
        <f>IF($A123="","",SUMIFS(LinkedIn_Posts!G:G,LinkedIn_Posts!A:A,$A123,LinkedIn_Posts!B:B,$B123))</f>
        <v/>
      </c>
      <c r="T123" s="7" t="str">
        <f>IF($A123="","",SUMIFS(LinkedIn_Posts!H:H,LinkedIn_Posts!A:A,$A123,LinkedIn_Posts!B:B,$B123))</f>
        <v/>
      </c>
      <c r="U123" s="7" t="str">
        <f>IF($A123="","",SUMIFS(LinkedIn_Posts!I:I,LinkedIn_Posts!A:A,$A123,LinkedIn_Posts!B:B,$B123))</f>
        <v/>
      </c>
    </row>
    <row r="124">
      <c r="A124" s="7" t="s">
        <v>47</v>
      </c>
      <c r="B124" s="7" t="s">
        <v>47</v>
      </c>
      <c r="C124" s="7" t="s">
        <v>47</v>
      </c>
      <c r="D124" s="7" t="str">
        <f>IF($A124="","",SUMIFS(YouTube_Long!G:G,YouTube_Long!A:A,$A124,YouTube_Long!B:B,$B124))</f>
        <v/>
      </c>
      <c r="E124" s="7" t="str">
        <f>IF($A124="","",SUMIFS(YouTube_Long!H:H,YouTube_Long!A:A,$A124,YouTube_Long!B:B,$B124))</f>
        <v/>
      </c>
      <c r="F124" s="7" t="str">
        <f>IF($A124="","",SUMIFS(YouTube_Long!I:I,YouTube_Long!A:A,$A124,YouTube_Long!B:B,$B124))</f>
        <v/>
      </c>
      <c r="G124" s="7" t="str">
        <f>IF($A124="","",COUNTIFS(YouTube_Shorts!A:A,$A124,YouTube_Shorts!B:B,$B124))</f>
        <v/>
      </c>
      <c r="H124" s="7" t="str">
        <f>IF($A124="","",SUMIFS(YouTube_Shorts!F:F,YouTube_Shorts!A:A,$A124,YouTube_Shorts!B:B,$B124))</f>
        <v/>
      </c>
      <c r="I124" s="7" t="str">
        <f>IF($A124="","",SUMIFS(YouTube_Shorts!G:G,YouTube_Shorts!A:A,$A124,YouTube_Shorts!B:B,$B124))</f>
        <v/>
      </c>
      <c r="J124" s="7" t="str">
        <f t="shared" si="1"/>
        <v/>
      </c>
      <c r="K124" s="7" t="str">
        <f>IF($A124="","",SUMIFS(Audio!D:D,Audio!A:A,$A124,Audio!B:B,$B124))</f>
        <v/>
      </c>
      <c r="L124" s="7" t="str">
        <f>IF($A124="","",COUNTIFS(TikTok_Posts!A:A,$A124,TikTok_Posts!B:B,$B124))</f>
        <v/>
      </c>
      <c r="M124" s="7" t="str">
        <f>IF($A124="","",SUMIFS(TikTok_Posts!E:E,TikTok_Posts!A:A,$A124,TikTok_Posts!B:B,$B124))</f>
        <v/>
      </c>
      <c r="N124" s="7" t="str">
        <f>IF($A124="","",COUNTIFS(Instagram_Posts!A:A,$A124,Instagram_Posts!B:B,$B124))</f>
        <v/>
      </c>
      <c r="O124" s="7" t="str">
        <f>IF($A124="","",SUMIFS(Instagram_Posts!E:E,Instagram_Posts!A:A,$A124,Instagram_Posts!B:B,$B124))</f>
        <v/>
      </c>
      <c r="P124" s="7" t="str">
        <f>IF($A124="","",SUMIFS(Blog!E:E,Blog!B:B,$A124,Blog!C:C,$B124))</f>
        <v/>
      </c>
      <c r="Q124" s="7" t="str">
        <f>IF($A124="","",COUNTIFS(LinkedIn_Posts!A:A,$A124,LinkedIn_Posts!B:B,$B124))</f>
        <v/>
      </c>
      <c r="R124" s="7" t="str">
        <f>IF($A124="","",SUMIFS(LinkedIn_Posts!F:F,LinkedIn_Posts!A:A,$A124,LinkedIn_Posts!B:B,$B124))</f>
        <v/>
      </c>
      <c r="S124" s="7" t="str">
        <f>IF($A124="","",SUMIFS(LinkedIn_Posts!G:G,LinkedIn_Posts!A:A,$A124,LinkedIn_Posts!B:B,$B124))</f>
        <v/>
      </c>
      <c r="T124" s="7" t="str">
        <f>IF($A124="","",SUMIFS(LinkedIn_Posts!H:H,LinkedIn_Posts!A:A,$A124,LinkedIn_Posts!B:B,$B124))</f>
        <v/>
      </c>
      <c r="U124" s="7" t="str">
        <f>IF($A124="","",SUMIFS(LinkedIn_Posts!I:I,LinkedIn_Posts!A:A,$A124,LinkedIn_Posts!B:B,$B124))</f>
        <v/>
      </c>
    </row>
    <row r="125">
      <c r="A125" s="7" t="s">
        <v>47</v>
      </c>
      <c r="B125" s="7" t="s">
        <v>47</v>
      </c>
      <c r="C125" s="7" t="s">
        <v>47</v>
      </c>
      <c r="D125" s="7" t="str">
        <f>IF($A125="","",SUMIFS(YouTube_Long!G:G,YouTube_Long!A:A,$A125,YouTube_Long!B:B,$B125))</f>
        <v/>
      </c>
      <c r="E125" s="7" t="str">
        <f>IF($A125="","",SUMIFS(YouTube_Long!H:H,YouTube_Long!A:A,$A125,YouTube_Long!B:B,$B125))</f>
        <v/>
      </c>
      <c r="F125" s="7" t="str">
        <f>IF($A125="","",SUMIFS(YouTube_Long!I:I,YouTube_Long!A:A,$A125,YouTube_Long!B:B,$B125))</f>
        <v/>
      </c>
      <c r="G125" s="7" t="str">
        <f>IF($A125="","",COUNTIFS(YouTube_Shorts!A:A,$A125,YouTube_Shorts!B:B,$B125))</f>
        <v/>
      </c>
      <c r="H125" s="7" t="str">
        <f>IF($A125="","",SUMIFS(YouTube_Shorts!F:F,YouTube_Shorts!A:A,$A125,YouTube_Shorts!B:B,$B125))</f>
        <v/>
      </c>
      <c r="I125" s="7" t="str">
        <f>IF($A125="","",SUMIFS(YouTube_Shorts!G:G,YouTube_Shorts!A:A,$A125,YouTube_Shorts!B:B,$B125))</f>
        <v/>
      </c>
      <c r="J125" s="7" t="str">
        <f t="shared" si="1"/>
        <v/>
      </c>
      <c r="K125" s="7" t="str">
        <f>IF($A125="","",SUMIFS(Audio!D:D,Audio!A:A,$A125,Audio!B:B,$B125))</f>
        <v/>
      </c>
      <c r="L125" s="7" t="str">
        <f>IF($A125="","",COUNTIFS(TikTok_Posts!A:A,$A125,TikTok_Posts!B:B,$B125))</f>
        <v/>
      </c>
      <c r="M125" s="7" t="str">
        <f>IF($A125="","",SUMIFS(TikTok_Posts!E:E,TikTok_Posts!A:A,$A125,TikTok_Posts!B:B,$B125))</f>
        <v/>
      </c>
      <c r="N125" s="7" t="str">
        <f>IF($A125="","",COUNTIFS(Instagram_Posts!A:A,$A125,Instagram_Posts!B:B,$B125))</f>
        <v/>
      </c>
      <c r="O125" s="7" t="str">
        <f>IF($A125="","",SUMIFS(Instagram_Posts!E:E,Instagram_Posts!A:A,$A125,Instagram_Posts!B:B,$B125))</f>
        <v/>
      </c>
      <c r="P125" s="7" t="str">
        <f>IF($A125="","",SUMIFS(Blog!E:E,Blog!B:B,$A125,Blog!C:C,$B125))</f>
        <v/>
      </c>
      <c r="Q125" s="7" t="str">
        <f>IF($A125="","",COUNTIFS(LinkedIn_Posts!A:A,$A125,LinkedIn_Posts!B:B,$B125))</f>
        <v/>
      </c>
      <c r="R125" s="7" t="str">
        <f>IF($A125="","",SUMIFS(LinkedIn_Posts!F:F,LinkedIn_Posts!A:A,$A125,LinkedIn_Posts!B:B,$B125))</f>
        <v/>
      </c>
      <c r="S125" s="7" t="str">
        <f>IF($A125="","",SUMIFS(LinkedIn_Posts!G:G,LinkedIn_Posts!A:A,$A125,LinkedIn_Posts!B:B,$B125))</f>
        <v/>
      </c>
      <c r="T125" s="7" t="str">
        <f>IF($A125="","",SUMIFS(LinkedIn_Posts!H:H,LinkedIn_Posts!A:A,$A125,LinkedIn_Posts!B:B,$B125))</f>
        <v/>
      </c>
      <c r="U125" s="7" t="str">
        <f>IF($A125="","",SUMIFS(LinkedIn_Posts!I:I,LinkedIn_Posts!A:A,$A125,LinkedIn_Posts!B:B,$B125))</f>
        <v/>
      </c>
    </row>
    <row r="126">
      <c r="A126" s="7" t="s">
        <v>47</v>
      </c>
      <c r="B126" s="7" t="s">
        <v>47</v>
      </c>
      <c r="C126" s="7" t="s">
        <v>47</v>
      </c>
      <c r="D126" s="7" t="str">
        <f>IF($A126="","",SUMIFS(YouTube_Long!G:G,YouTube_Long!A:A,$A126,YouTube_Long!B:B,$B126))</f>
        <v/>
      </c>
      <c r="E126" s="7" t="str">
        <f>IF($A126="","",SUMIFS(YouTube_Long!H:H,YouTube_Long!A:A,$A126,YouTube_Long!B:B,$B126))</f>
        <v/>
      </c>
      <c r="F126" s="7" t="str">
        <f>IF($A126="","",SUMIFS(YouTube_Long!I:I,YouTube_Long!A:A,$A126,YouTube_Long!B:B,$B126))</f>
        <v/>
      </c>
      <c r="G126" s="7" t="str">
        <f>IF($A126="","",COUNTIFS(YouTube_Shorts!A:A,$A126,YouTube_Shorts!B:B,$B126))</f>
        <v/>
      </c>
      <c r="H126" s="7" t="str">
        <f>IF($A126="","",SUMIFS(YouTube_Shorts!F:F,YouTube_Shorts!A:A,$A126,YouTube_Shorts!B:B,$B126))</f>
        <v/>
      </c>
      <c r="I126" s="7" t="str">
        <f>IF($A126="","",SUMIFS(YouTube_Shorts!G:G,YouTube_Shorts!A:A,$A126,YouTube_Shorts!B:B,$B126))</f>
        <v/>
      </c>
      <c r="J126" s="7" t="str">
        <f t="shared" si="1"/>
        <v/>
      </c>
      <c r="K126" s="7" t="str">
        <f>IF($A126="","",SUMIFS(Audio!D:D,Audio!A:A,$A126,Audio!B:B,$B126))</f>
        <v/>
      </c>
      <c r="L126" s="7" t="str">
        <f>IF($A126="","",COUNTIFS(TikTok_Posts!A:A,$A126,TikTok_Posts!B:B,$B126))</f>
        <v/>
      </c>
      <c r="M126" s="7" t="str">
        <f>IF($A126="","",SUMIFS(TikTok_Posts!E:E,TikTok_Posts!A:A,$A126,TikTok_Posts!B:B,$B126))</f>
        <v/>
      </c>
      <c r="N126" s="7" t="str">
        <f>IF($A126="","",COUNTIFS(Instagram_Posts!A:A,$A126,Instagram_Posts!B:B,$B126))</f>
        <v/>
      </c>
      <c r="O126" s="7" t="str">
        <f>IF($A126="","",SUMIFS(Instagram_Posts!E:E,Instagram_Posts!A:A,$A126,Instagram_Posts!B:B,$B126))</f>
        <v/>
      </c>
      <c r="P126" s="7" t="str">
        <f>IF($A126="","",SUMIFS(Blog!E:E,Blog!B:B,$A126,Blog!C:C,$B126))</f>
        <v/>
      </c>
      <c r="Q126" s="7" t="str">
        <f>IF($A126="","",COUNTIFS(LinkedIn_Posts!A:A,$A126,LinkedIn_Posts!B:B,$B126))</f>
        <v/>
      </c>
      <c r="R126" s="7" t="str">
        <f>IF($A126="","",SUMIFS(LinkedIn_Posts!F:F,LinkedIn_Posts!A:A,$A126,LinkedIn_Posts!B:B,$B126))</f>
        <v/>
      </c>
      <c r="S126" s="7" t="str">
        <f>IF($A126="","",SUMIFS(LinkedIn_Posts!G:G,LinkedIn_Posts!A:A,$A126,LinkedIn_Posts!B:B,$B126))</f>
        <v/>
      </c>
      <c r="T126" s="7" t="str">
        <f>IF($A126="","",SUMIFS(LinkedIn_Posts!H:H,LinkedIn_Posts!A:A,$A126,LinkedIn_Posts!B:B,$B126))</f>
        <v/>
      </c>
      <c r="U126" s="7" t="str">
        <f>IF($A126="","",SUMIFS(LinkedIn_Posts!I:I,LinkedIn_Posts!A:A,$A126,LinkedIn_Posts!B:B,$B126))</f>
        <v/>
      </c>
    </row>
    <row r="127">
      <c r="A127" s="7" t="s">
        <v>47</v>
      </c>
      <c r="B127" s="7" t="s">
        <v>47</v>
      </c>
      <c r="C127" s="7" t="s">
        <v>47</v>
      </c>
      <c r="D127" s="7" t="str">
        <f>IF($A127="","",SUMIFS(YouTube_Long!G:G,YouTube_Long!A:A,$A127,YouTube_Long!B:B,$B127))</f>
        <v/>
      </c>
      <c r="E127" s="7" t="str">
        <f>IF($A127="","",SUMIFS(YouTube_Long!H:H,YouTube_Long!A:A,$A127,YouTube_Long!B:B,$B127))</f>
        <v/>
      </c>
      <c r="F127" s="7" t="str">
        <f>IF($A127="","",SUMIFS(YouTube_Long!I:I,YouTube_Long!A:A,$A127,YouTube_Long!B:B,$B127))</f>
        <v/>
      </c>
      <c r="G127" s="7" t="str">
        <f>IF($A127="","",COUNTIFS(YouTube_Shorts!A:A,$A127,YouTube_Shorts!B:B,$B127))</f>
        <v/>
      </c>
      <c r="H127" s="7" t="str">
        <f>IF($A127="","",SUMIFS(YouTube_Shorts!F:F,YouTube_Shorts!A:A,$A127,YouTube_Shorts!B:B,$B127))</f>
        <v/>
      </c>
      <c r="I127" s="7" t="str">
        <f>IF($A127="","",SUMIFS(YouTube_Shorts!G:G,YouTube_Shorts!A:A,$A127,YouTube_Shorts!B:B,$B127))</f>
        <v/>
      </c>
      <c r="J127" s="7" t="str">
        <f t="shared" si="1"/>
        <v/>
      </c>
      <c r="K127" s="7" t="str">
        <f>IF($A127="","",SUMIFS(Audio!D:D,Audio!A:A,$A127,Audio!B:B,$B127))</f>
        <v/>
      </c>
      <c r="L127" s="7" t="str">
        <f>IF($A127="","",COUNTIFS(TikTok_Posts!A:A,$A127,TikTok_Posts!B:B,$B127))</f>
        <v/>
      </c>
      <c r="M127" s="7" t="str">
        <f>IF($A127="","",SUMIFS(TikTok_Posts!E:E,TikTok_Posts!A:A,$A127,TikTok_Posts!B:B,$B127))</f>
        <v/>
      </c>
      <c r="N127" s="7" t="str">
        <f>IF($A127="","",COUNTIFS(Instagram_Posts!A:A,$A127,Instagram_Posts!B:B,$B127))</f>
        <v/>
      </c>
      <c r="O127" s="7" t="str">
        <f>IF($A127="","",SUMIFS(Instagram_Posts!E:E,Instagram_Posts!A:A,$A127,Instagram_Posts!B:B,$B127))</f>
        <v/>
      </c>
      <c r="P127" s="7" t="str">
        <f>IF($A127="","",SUMIFS(Blog!E:E,Blog!B:B,$A127,Blog!C:C,$B127))</f>
        <v/>
      </c>
      <c r="Q127" s="7" t="str">
        <f>IF($A127="","",COUNTIFS(LinkedIn_Posts!A:A,$A127,LinkedIn_Posts!B:B,$B127))</f>
        <v/>
      </c>
      <c r="R127" s="7" t="str">
        <f>IF($A127="","",SUMIFS(LinkedIn_Posts!F:F,LinkedIn_Posts!A:A,$A127,LinkedIn_Posts!B:B,$B127))</f>
        <v/>
      </c>
      <c r="S127" s="7" t="str">
        <f>IF($A127="","",SUMIFS(LinkedIn_Posts!G:G,LinkedIn_Posts!A:A,$A127,LinkedIn_Posts!B:B,$B127))</f>
        <v/>
      </c>
      <c r="T127" s="7" t="str">
        <f>IF($A127="","",SUMIFS(LinkedIn_Posts!H:H,LinkedIn_Posts!A:A,$A127,LinkedIn_Posts!B:B,$B127))</f>
        <v/>
      </c>
      <c r="U127" s="7" t="str">
        <f>IF($A127="","",SUMIFS(LinkedIn_Posts!I:I,LinkedIn_Posts!A:A,$A127,LinkedIn_Posts!B:B,$B127))</f>
        <v/>
      </c>
    </row>
    <row r="128">
      <c r="A128" s="7" t="s">
        <v>47</v>
      </c>
      <c r="B128" s="7" t="s">
        <v>47</v>
      </c>
      <c r="C128" s="7" t="s">
        <v>47</v>
      </c>
      <c r="D128" s="7" t="str">
        <f>IF($A128="","",SUMIFS(YouTube_Long!G:G,YouTube_Long!A:A,$A128,YouTube_Long!B:B,$B128))</f>
        <v/>
      </c>
      <c r="E128" s="7" t="str">
        <f>IF($A128="","",SUMIFS(YouTube_Long!H:H,YouTube_Long!A:A,$A128,YouTube_Long!B:B,$B128))</f>
        <v/>
      </c>
      <c r="F128" s="7" t="str">
        <f>IF($A128="","",SUMIFS(YouTube_Long!I:I,YouTube_Long!A:A,$A128,YouTube_Long!B:B,$B128))</f>
        <v/>
      </c>
      <c r="G128" s="7" t="str">
        <f>IF($A128="","",COUNTIFS(YouTube_Shorts!A:A,$A128,YouTube_Shorts!B:B,$B128))</f>
        <v/>
      </c>
      <c r="H128" s="7" t="str">
        <f>IF($A128="","",SUMIFS(YouTube_Shorts!F:F,YouTube_Shorts!A:A,$A128,YouTube_Shorts!B:B,$B128))</f>
        <v/>
      </c>
      <c r="I128" s="7" t="str">
        <f>IF($A128="","",SUMIFS(YouTube_Shorts!G:G,YouTube_Shorts!A:A,$A128,YouTube_Shorts!B:B,$B128))</f>
        <v/>
      </c>
      <c r="J128" s="7" t="str">
        <f t="shared" si="1"/>
        <v/>
      </c>
      <c r="K128" s="7" t="str">
        <f>IF($A128="","",SUMIFS(Audio!D:D,Audio!A:A,$A128,Audio!B:B,$B128))</f>
        <v/>
      </c>
      <c r="L128" s="7" t="str">
        <f>IF($A128="","",COUNTIFS(TikTok_Posts!A:A,$A128,TikTok_Posts!B:B,$B128))</f>
        <v/>
      </c>
      <c r="M128" s="7" t="str">
        <f>IF($A128="","",SUMIFS(TikTok_Posts!E:E,TikTok_Posts!A:A,$A128,TikTok_Posts!B:B,$B128))</f>
        <v/>
      </c>
      <c r="N128" s="7" t="str">
        <f>IF($A128="","",COUNTIFS(Instagram_Posts!A:A,$A128,Instagram_Posts!B:B,$B128))</f>
        <v/>
      </c>
      <c r="O128" s="7" t="str">
        <f>IF($A128="","",SUMIFS(Instagram_Posts!E:E,Instagram_Posts!A:A,$A128,Instagram_Posts!B:B,$B128))</f>
        <v/>
      </c>
      <c r="P128" s="7" t="str">
        <f>IF($A128="","",SUMIFS(Blog!E:E,Blog!B:B,$A128,Blog!C:C,$B128))</f>
        <v/>
      </c>
      <c r="Q128" s="7" t="str">
        <f>IF($A128="","",COUNTIFS(LinkedIn_Posts!A:A,$A128,LinkedIn_Posts!B:B,$B128))</f>
        <v/>
      </c>
      <c r="R128" s="7" t="str">
        <f>IF($A128="","",SUMIFS(LinkedIn_Posts!F:F,LinkedIn_Posts!A:A,$A128,LinkedIn_Posts!B:B,$B128))</f>
        <v/>
      </c>
      <c r="S128" s="7" t="str">
        <f>IF($A128="","",SUMIFS(LinkedIn_Posts!G:G,LinkedIn_Posts!A:A,$A128,LinkedIn_Posts!B:B,$B128))</f>
        <v/>
      </c>
      <c r="T128" s="7" t="str">
        <f>IF($A128="","",SUMIFS(LinkedIn_Posts!H:H,LinkedIn_Posts!A:A,$A128,LinkedIn_Posts!B:B,$B128))</f>
        <v/>
      </c>
      <c r="U128" s="7" t="str">
        <f>IF($A128="","",SUMIFS(LinkedIn_Posts!I:I,LinkedIn_Posts!A:A,$A128,LinkedIn_Posts!B:B,$B128))</f>
        <v/>
      </c>
    </row>
    <row r="129">
      <c r="A129" s="7" t="s">
        <v>47</v>
      </c>
      <c r="B129" s="7" t="s">
        <v>47</v>
      </c>
      <c r="C129" s="7" t="s">
        <v>47</v>
      </c>
      <c r="D129" s="7" t="str">
        <f>IF($A129="","",SUMIFS(YouTube_Long!G:G,YouTube_Long!A:A,$A129,YouTube_Long!B:B,$B129))</f>
        <v/>
      </c>
      <c r="E129" s="7" t="str">
        <f>IF($A129="","",SUMIFS(YouTube_Long!H:H,YouTube_Long!A:A,$A129,YouTube_Long!B:B,$B129))</f>
        <v/>
      </c>
      <c r="F129" s="7" t="str">
        <f>IF($A129="","",SUMIFS(YouTube_Long!I:I,YouTube_Long!A:A,$A129,YouTube_Long!B:B,$B129))</f>
        <v/>
      </c>
      <c r="G129" s="7" t="str">
        <f>IF($A129="","",COUNTIFS(YouTube_Shorts!A:A,$A129,YouTube_Shorts!B:B,$B129))</f>
        <v/>
      </c>
      <c r="H129" s="7" t="str">
        <f>IF($A129="","",SUMIFS(YouTube_Shorts!F:F,YouTube_Shorts!A:A,$A129,YouTube_Shorts!B:B,$B129))</f>
        <v/>
      </c>
      <c r="I129" s="7" t="str">
        <f>IF($A129="","",SUMIFS(YouTube_Shorts!G:G,YouTube_Shorts!A:A,$A129,YouTube_Shorts!B:B,$B129))</f>
        <v/>
      </c>
      <c r="J129" s="7" t="str">
        <f t="shared" si="1"/>
        <v/>
      </c>
      <c r="K129" s="7" t="str">
        <f>IF($A129="","",SUMIFS(Audio!D:D,Audio!A:A,$A129,Audio!B:B,$B129))</f>
        <v/>
      </c>
      <c r="L129" s="7" t="str">
        <f>IF($A129="","",COUNTIFS(TikTok_Posts!A:A,$A129,TikTok_Posts!B:B,$B129))</f>
        <v/>
      </c>
      <c r="M129" s="7" t="str">
        <f>IF($A129="","",SUMIFS(TikTok_Posts!E:E,TikTok_Posts!A:A,$A129,TikTok_Posts!B:B,$B129))</f>
        <v/>
      </c>
      <c r="N129" s="7" t="str">
        <f>IF($A129="","",COUNTIFS(Instagram_Posts!A:A,$A129,Instagram_Posts!B:B,$B129))</f>
        <v/>
      </c>
      <c r="O129" s="7" t="str">
        <f>IF($A129="","",SUMIFS(Instagram_Posts!E:E,Instagram_Posts!A:A,$A129,Instagram_Posts!B:B,$B129))</f>
        <v/>
      </c>
      <c r="P129" s="7" t="str">
        <f>IF($A129="","",SUMIFS(Blog!E:E,Blog!B:B,$A129,Blog!C:C,$B129))</f>
        <v/>
      </c>
      <c r="Q129" s="7" t="str">
        <f>IF($A129="","",COUNTIFS(LinkedIn_Posts!A:A,$A129,LinkedIn_Posts!B:B,$B129))</f>
        <v/>
      </c>
      <c r="R129" s="7" t="str">
        <f>IF($A129="","",SUMIFS(LinkedIn_Posts!F:F,LinkedIn_Posts!A:A,$A129,LinkedIn_Posts!B:B,$B129))</f>
        <v/>
      </c>
      <c r="S129" s="7" t="str">
        <f>IF($A129="","",SUMIFS(LinkedIn_Posts!G:G,LinkedIn_Posts!A:A,$A129,LinkedIn_Posts!B:B,$B129))</f>
        <v/>
      </c>
      <c r="T129" s="7" t="str">
        <f>IF($A129="","",SUMIFS(LinkedIn_Posts!H:H,LinkedIn_Posts!A:A,$A129,LinkedIn_Posts!B:B,$B129))</f>
        <v/>
      </c>
      <c r="U129" s="7" t="str">
        <f>IF($A129="","",SUMIFS(LinkedIn_Posts!I:I,LinkedIn_Posts!A:A,$A129,LinkedIn_Posts!B:B,$B129))</f>
        <v/>
      </c>
    </row>
    <row r="130">
      <c r="A130" s="7" t="s">
        <v>47</v>
      </c>
      <c r="B130" s="7" t="s">
        <v>47</v>
      </c>
      <c r="C130" s="7" t="s">
        <v>47</v>
      </c>
      <c r="D130" s="7" t="str">
        <f>IF($A130="","",SUMIFS(YouTube_Long!G:G,YouTube_Long!A:A,$A130,YouTube_Long!B:B,$B130))</f>
        <v/>
      </c>
      <c r="E130" s="7" t="str">
        <f>IF($A130="","",SUMIFS(YouTube_Long!H:H,YouTube_Long!A:A,$A130,YouTube_Long!B:B,$B130))</f>
        <v/>
      </c>
      <c r="F130" s="7" t="str">
        <f>IF($A130="","",SUMIFS(YouTube_Long!I:I,YouTube_Long!A:A,$A130,YouTube_Long!B:B,$B130))</f>
        <v/>
      </c>
      <c r="G130" s="7" t="str">
        <f>IF($A130="","",COUNTIFS(YouTube_Shorts!A:A,$A130,YouTube_Shorts!B:B,$B130))</f>
        <v/>
      </c>
      <c r="H130" s="7" t="str">
        <f>IF($A130="","",SUMIFS(YouTube_Shorts!F:F,YouTube_Shorts!A:A,$A130,YouTube_Shorts!B:B,$B130))</f>
        <v/>
      </c>
      <c r="I130" s="7" t="str">
        <f>IF($A130="","",SUMIFS(YouTube_Shorts!G:G,YouTube_Shorts!A:A,$A130,YouTube_Shorts!B:B,$B130))</f>
        <v/>
      </c>
      <c r="J130" s="7" t="str">
        <f t="shared" si="1"/>
        <v/>
      </c>
      <c r="K130" s="7" t="str">
        <f>IF($A130="","",SUMIFS(Audio!D:D,Audio!A:A,$A130,Audio!B:B,$B130))</f>
        <v/>
      </c>
      <c r="L130" s="7" t="str">
        <f>IF($A130="","",COUNTIFS(TikTok_Posts!A:A,$A130,TikTok_Posts!B:B,$B130))</f>
        <v/>
      </c>
      <c r="M130" s="7" t="str">
        <f>IF($A130="","",SUMIFS(TikTok_Posts!E:E,TikTok_Posts!A:A,$A130,TikTok_Posts!B:B,$B130))</f>
        <v/>
      </c>
      <c r="N130" s="7" t="str">
        <f>IF($A130="","",COUNTIFS(Instagram_Posts!A:A,$A130,Instagram_Posts!B:B,$B130))</f>
        <v/>
      </c>
      <c r="O130" s="7" t="str">
        <f>IF($A130="","",SUMIFS(Instagram_Posts!E:E,Instagram_Posts!A:A,$A130,Instagram_Posts!B:B,$B130))</f>
        <v/>
      </c>
      <c r="P130" s="7" t="str">
        <f>IF($A130="","",SUMIFS(Blog!E:E,Blog!B:B,$A130,Blog!C:C,$B130))</f>
        <v/>
      </c>
      <c r="Q130" s="7" t="str">
        <f>IF($A130="","",COUNTIFS(LinkedIn_Posts!A:A,$A130,LinkedIn_Posts!B:B,$B130))</f>
        <v/>
      </c>
      <c r="R130" s="7" t="str">
        <f>IF($A130="","",SUMIFS(LinkedIn_Posts!F:F,LinkedIn_Posts!A:A,$A130,LinkedIn_Posts!B:B,$B130))</f>
        <v/>
      </c>
      <c r="S130" s="7" t="str">
        <f>IF($A130="","",SUMIFS(LinkedIn_Posts!G:G,LinkedIn_Posts!A:A,$A130,LinkedIn_Posts!B:B,$B130))</f>
        <v/>
      </c>
      <c r="T130" s="7" t="str">
        <f>IF($A130="","",SUMIFS(LinkedIn_Posts!H:H,LinkedIn_Posts!A:A,$A130,LinkedIn_Posts!B:B,$B130))</f>
        <v/>
      </c>
      <c r="U130" s="7" t="str">
        <f>IF($A130="","",SUMIFS(LinkedIn_Posts!I:I,LinkedIn_Posts!A:A,$A130,LinkedIn_Posts!B:B,$B130))</f>
        <v/>
      </c>
    </row>
    <row r="131">
      <c r="A131" s="7" t="s">
        <v>47</v>
      </c>
      <c r="B131" s="7" t="s">
        <v>47</v>
      </c>
      <c r="C131" s="7" t="s">
        <v>47</v>
      </c>
      <c r="D131" s="7" t="str">
        <f>IF($A131="","",SUMIFS(YouTube_Long!G:G,YouTube_Long!A:A,$A131,YouTube_Long!B:B,$B131))</f>
        <v/>
      </c>
      <c r="E131" s="7" t="str">
        <f>IF($A131="","",SUMIFS(YouTube_Long!H:H,YouTube_Long!A:A,$A131,YouTube_Long!B:B,$B131))</f>
        <v/>
      </c>
      <c r="F131" s="7" t="str">
        <f>IF($A131="","",SUMIFS(YouTube_Long!I:I,YouTube_Long!A:A,$A131,YouTube_Long!B:B,$B131))</f>
        <v/>
      </c>
      <c r="G131" s="7" t="str">
        <f>IF($A131="","",COUNTIFS(YouTube_Shorts!A:A,$A131,YouTube_Shorts!B:B,$B131))</f>
        <v/>
      </c>
      <c r="H131" s="7" t="str">
        <f>IF($A131="","",SUMIFS(YouTube_Shorts!F:F,YouTube_Shorts!A:A,$A131,YouTube_Shorts!B:B,$B131))</f>
        <v/>
      </c>
      <c r="I131" s="7" t="str">
        <f>IF($A131="","",SUMIFS(YouTube_Shorts!G:G,YouTube_Shorts!A:A,$A131,YouTube_Shorts!B:B,$B131))</f>
        <v/>
      </c>
      <c r="J131" s="7" t="str">
        <f t="shared" si="1"/>
        <v/>
      </c>
      <c r="K131" s="7" t="str">
        <f>IF($A131="","",SUMIFS(Audio!D:D,Audio!A:A,$A131,Audio!B:B,$B131))</f>
        <v/>
      </c>
      <c r="L131" s="7" t="str">
        <f>IF($A131="","",COUNTIFS(TikTok_Posts!A:A,$A131,TikTok_Posts!B:B,$B131))</f>
        <v/>
      </c>
      <c r="M131" s="7" t="str">
        <f>IF($A131="","",SUMIFS(TikTok_Posts!E:E,TikTok_Posts!A:A,$A131,TikTok_Posts!B:B,$B131))</f>
        <v/>
      </c>
      <c r="N131" s="7" t="str">
        <f>IF($A131="","",COUNTIFS(Instagram_Posts!A:A,$A131,Instagram_Posts!B:B,$B131))</f>
        <v/>
      </c>
      <c r="O131" s="7" t="str">
        <f>IF($A131="","",SUMIFS(Instagram_Posts!E:E,Instagram_Posts!A:A,$A131,Instagram_Posts!B:B,$B131))</f>
        <v/>
      </c>
      <c r="P131" s="7" t="str">
        <f>IF($A131="","",SUMIFS(Blog!E:E,Blog!B:B,$A131,Blog!C:C,$B131))</f>
        <v/>
      </c>
      <c r="Q131" s="7" t="str">
        <f>IF($A131="","",COUNTIFS(LinkedIn_Posts!A:A,$A131,LinkedIn_Posts!B:B,$B131))</f>
        <v/>
      </c>
      <c r="R131" s="7" t="str">
        <f>IF($A131="","",SUMIFS(LinkedIn_Posts!F:F,LinkedIn_Posts!A:A,$A131,LinkedIn_Posts!B:B,$B131))</f>
        <v/>
      </c>
      <c r="S131" s="7" t="str">
        <f>IF($A131="","",SUMIFS(LinkedIn_Posts!G:G,LinkedIn_Posts!A:A,$A131,LinkedIn_Posts!B:B,$B131))</f>
        <v/>
      </c>
      <c r="T131" s="7" t="str">
        <f>IF($A131="","",SUMIFS(LinkedIn_Posts!H:H,LinkedIn_Posts!A:A,$A131,LinkedIn_Posts!B:B,$B131))</f>
        <v/>
      </c>
      <c r="U131" s="7" t="str">
        <f>IF($A131="","",SUMIFS(LinkedIn_Posts!I:I,LinkedIn_Posts!A:A,$A131,LinkedIn_Posts!B:B,$B131))</f>
        <v/>
      </c>
    </row>
    <row r="132">
      <c r="A132" s="7" t="s">
        <v>47</v>
      </c>
      <c r="B132" s="7" t="s">
        <v>47</v>
      </c>
      <c r="C132" s="7" t="s">
        <v>47</v>
      </c>
      <c r="D132" s="7" t="str">
        <f>IF($A132="","",SUMIFS(YouTube_Long!G:G,YouTube_Long!A:A,$A132,YouTube_Long!B:B,$B132))</f>
        <v/>
      </c>
      <c r="E132" s="7" t="str">
        <f>IF($A132="","",SUMIFS(YouTube_Long!H:H,YouTube_Long!A:A,$A132,YouTube_Long!B:B,$B132))</f>
        <v/>
      </c>
      <c r="F132" s="7" t="str">
        <f>IF($A132="","",SUMIFS(YouTube_Long!I:I,YouTube_Long!A:A,$A132,YouTube_Long!B:B,$B132))</f>
        <v/>
      </c>
      <c r="G132" s="7" t="str">
        <f>IF($A132="","",COUNTIFS(YouTube_Shorts!A:A,$A132,YouTube_Shorts!B:B,$B132))</f>
        <v/>
      </c>
      <c r="H132" s="7" t="str">
        <f>IF($A132="","",SUMIFS(YouTube_Shorts!F:F,YouTube_Shorts!A:A,$A132,YouTube_Shorts!B:B,$B132))</f>
        <v/>
      </c>
      <c r="I132" s="7" t="str">
        <f>IF($A132="","",SUMIFS(YouTube_Shorts!G:G,YouTube_Shorts!A:A,$A132,YouTube_Shorts!B:B,$B132))</f>
        <v/>
      </c>
      <c r="J132" s="7" t="str">
        <f t="shared" si="1"/>
        <v/>
      </c>
      <c r="K132" s="7" t="str">
        <f>IF($A132="","",SUMIFS(Audio!D:D,Audio!A:A,$A132,Audio!B:B,$B132))</f>
        <v/>
      </c>
      <c r="L132" s="7" t="str">
        <f>IF($A132="","",COUNTIFS(TikTok_Posts!A:A,$A132,TikTok_Posts!B:B,$B132))</f>
        <v/>
      </c>
      <c r="M132" s="7" t="str">
        <f>IF($A132="","",SUMIFS(TikTok_Posts!E:E,TikTok_Posts!A:A,$A132,TikTok_Posts!B:B,$B132))</f>
        <v/>
      </c>
      <c r="N132" s="7" t="str">
        <f>IF($A132="","",COUNTIFS(Instagram_Posts!A:A,$A132,Instagram_Posts!B:B,$B132))</f>
        <v/>
      </c>
      <c r="O132" s="7" t="str">
        <f>IF($A132="","",SUMIFS(Instagram_Posts!E:E,Instagram_Posts!A:A,$A132,Instagram_Posts!B:B,$B132))</f>
        <v/>
      </c>
      <c r="P132" s="7" t="str">
        <f>IF($A132="","",SUMIFS(Blog!E:E,Blog!B:B,$A132,Blog!C:C,$B132))</f>
        <v/>
      </c>
      <c r="Q132" s="7" t="str">
        <f>IF($A132="","",COUNTIFS(LinkedIn_Posts!A:A,$A132,LinkedIn_Posts!B:B,$B132))</f>
        <v/>
      </c>
      <c r="R132" s="7" t="str">
        <f>IF($A132="","",SUMIFS(LinkedIn_Posts!F:F,LinkedIn_Posts!A:A,$A132,LinkedIn_Posts!B:B,$B132))</f>
        <v/>
      </c>
      <c r="S132" s="7" t="str">
        <f>IF($A132="","",SUMIFS(LinkedIn_Posts!G:G,LinkedIn_Posts!A:A,$A132,LinkedIn_Posts!B:B,$B132))</f>
        <v/>
      </c>
      <c r="T132" s="7" t="str">
        <f>IF($A132="","",SUMIFS(LinkedIn_Posts!H:H,LinkedIn_Posts!A:A,$A132,LinkedIn_Posts!B:B,$B132))</f>
        <v/>
      </c>
      <c r="U132" s="7" t="str">
        <f>IF($A132="","",SUMIFS(LinkedIn_Posts!I:I,LinkedIn_Posts!A:A,$A132,LinkedIn_Posts!B:B,$B132))</f>
        <v/>
      </c>
    </row>
    <row r="133">
      <c r="A133" s="7" t="s">
        <v>47</v>
      </c>
      <c r="B133" s="7" t="s">
        <v>47</v>
      </c>
      <c r="C133" s="7" t="s">
        <v>47</v>
      </c>
      <c r="D133" s="7" t="str">
        <f>IF($A133="","",SUMIFS(YouTube_Long!G:G,YouTube_Long!A:A,$A133,YouTube_Long!B:B,$B133))</f>
        <v/>
      </c>
      <c r="E133" s="7" t="str">
        <f>IF($A133="","",SUMIFS(YouTube_Long!H:H,YouTube_Long!A:A,$A133,YouTube_Long!B:B,$B133))</f>
        <v/>
      </c>
      <c r="F133" s="7" t="str">
        <f>IF($A133="","",SUMIFS(YouTube_Long!I:I,YouTube_Long!A:A,$A133,YouTube_Long!B:B,$B133))</f>
        <v/>
      </c>
      <c r="G133" s="7" t="str">
        <f>IF($A133="","",COUNTIFS(YouTube_Shorts!A:A,$A133,YouTube_Shorts!B:B,$B133))</f>
        <v/>
      </c>
      <c r="H133" s="7" t="str">
        <f>IF($A133="","",SUMIFS(YouTube_Shorts!F:F,YouTube_Shorts!A:A,$A133,YouTube_Shorts!B:B,$B133))</f>
        <v/>
      </c>
      <c r="I133" s="7" t="str">
        <f>IF($A133="","",SUMIFS(YouTube_Shorts!G:G,YouTube_Shorts!A:A,$A133,YouTube_Shorts!B:B,$B133))</f>
        <v/>
      </c>
      <c r="J133" s="7" t="str">
        <f t="shared" si="1"/>
        <v/>
      </c>
      <c r="K133" s="7" t="str">
        <f>IF($A133="","",SUMIFS(Audio!D:D,Audio!A:A,$A133,Audio!B:B,$B133))</f>
        <v/>
      </c>
      <c r="L133" s="7" t="str">
        <f>IF($A133="","",COUNTIFS(TikTok_Posts!A:A,$A133,TikTok_Posts!B:B,$B133))</f>
        <v/>
      </c>
      <c r="M133" s="7" t="str">
        <f>IF($A133="","",SUMIFS(TikTok_Posts!E:E,TikTok_Posts!A:A,$A133,TikTok_Posts!B:B,$B133))</f>
        <v/>
      </c>
      <c r="N133" s="7" t="str">
        <f>IF($A133="","",COUNTIFS(Instagram_Posts!A:A,$A133,Instagram_Posts!B:B,$B133))</f>
        <v/>
      </c>
      <c r="O133" s="7" t="str">
        <f>IF($A133="","",SUMIFS(Instagram_Posts!E:E,Instagram_Posts!A:A,$A133,Instagram_Posts!B:B,$B133))</f>
        <v/>
      </c>
      <c r="P133" s="7" t="str">
        <f>IF($A133="","",SUMIFS(Blog!E:E,Blog!B:B,$A133,Blog!C:C,$B133))</f>
        <v/>
      </c>
      <c r="Q133" s="7" t="str">
        <f>IF($A133="","",COUNTIFS(LinkedIn_Posts!A:A,$A133,LinkedIn_Posts!B:B,$B133))</f>
        <v/>
      </c>
      <c r="R133" s="7" t="str">
        <f>IF($A133="","",SUMIFS(LinkedIn_Posts!F:F,LinkedIn_Posts!A:A,$A133,LinkedIn_Posts!B:B,$B133))</f>
        <v/>
      </c>
      <c r="S133" s="7" t="str">
        <f>IF($A133="","",SUMIFS(LinkedIn_Posts!G:G,LinkedIn_Posts!A:A,$A133,LinkedIn_Posts!B:B,$B133))</f>
        <v/>
      </c>
      <c r="T133" s="7" t="str">
        <f>IF($A133="","",SUMIFS(LinkedIn_Posts!H:H,LinkedIn_Posts!A:A,$A133,LinkedIn_Posts!B:B,$B133))</f>
        <v/>
      </c>
      <c r="U133" s="7" t="str">
        <f>IF($A133="","",SUMIFS(LinkedIn_Posts!I:I,LinkedIn_Posts!A:A,$A133,LinkedIn_Posts!B:B,$B133))</f>
        <v/>
      </c>
    </row>
    <row r="134">
      <c r="A134" s="7" t="s">
        <v>47</v>
      </c>
      <c r="B134" s="7" t="s">
        <v>47</v>
      </c>
      <c r="C134" s="7" t="s">
        <v>47</v>
      </c>
      <c r="D134" s="7" t="str">
        <f>IF($A134="","",SUMIFS(YouTube_Long!G:G,YouTube_Long!A:A,$A134,YouTube_Long!B:B,$B134))</f>
        <v/>
      </c>
      <c r="E134" s="7" t="str">
        <f>IF($A134="","",SUMIFS(YouTube_Long!H:H,YouTube_Long!A:A,$A134,YouTube_Long!B:B,$B134))</f>
        <v/>
      </c>
      <c r="F134" s="7" t="str">
        <f>IF($A134="","",SUMIFS(YouTube_Long!I:I,YouTube_Long!A:A,$A134,YouTube_Long!B:B,$B134))</f>
        <v/>
      </c>
      <c r="G134" s="7" t="str">
        <f>IF($A134="","",COUNTIFS(YouTube_Shorts!A:A,$A134,YouTube_Shorts!B:B,$B134))</f>
        <v/>
      </c>
      <c r="H134" s="7" t="str">
        <f>IF($A134="","",SUMIFS(YouTube_Shorts!F:F,YouTube_Shorts!A:A,$A134,YouTube_Shorts!B:B,$B134))</f>
        <v/>
      </c>
      <c r="I134" s="7" t="str">
        <f>IF($A134="","",SUMIFS(YouTube_Shorts!G:G,YouTube_Shorts!A:A,$A134,YouTube_Shorts!B:B,$B134))</f>
        <v/>
      </c>
      <c r="J134" s="7" t="str">
        <f t="shared" si="1"/>
        <v/>
      </c>
      <c r="K134" s="7" t="str">
        <f>IF($A134="","",SUMIFS(Audio!D:D,Audio!A:A,$A134,Audio!B:B,$B134))</f>
        <v/>
      </c>
      <c r="L134" s="7" t="str">
        <f>IF($A134="","",COUNTIFS(TikTok_Posts!A:A,$A134,TikTok_Posts!B:B,$B134))</f>
        <v/>
      </c>
      <c r="M134" s="7" t="str">
        <f>IF($A134="","",SUMIFS(TikTok_Posts!E:E,TikTok_Posts!A:A,$A134,TikTok_Posts!B:B,$B134))</f>
        <v/>
      </c>
      <c r="N134" s="7" t="str">
        <f>IF($A134="","",COUNTIFS(Instagram_Posts!A:A,$A134,Instagram_Posts!B:B,$B134))</f>
        <v/>
      </c>
      <c r="O134" s="7" t="str">
        <f>IF($A134="","",SUMIFS(Instagram_Posts!E:E,Instagram_Posts!A:A,$A134,Instagram_Posts!B:B,$B134))</f>
        <v/>
      </c>
      <c r="P134" s="7" t="str">
        <f>IF($A134="","",SUMIFS(Blog!E:E,Blog!B:B,$A134,Blog!C:C,$B134))</f>
        <v/>
      </c>
      <c r="Q134" s="7" t="str">
        <f>IF($A134="","",COUNTIFS(LinkedIn_Posts!A:A,$A134,LinkedIn_Posts!B:B,$B134))</f>
        <v/>
      </c>
      <c r="R134" s="7" t="str">
        <f>IF($A134="","",SUMIFS(LinkedIn_Posts!F:F,LinkedIn_Posts!A:A,$A134,LinkedIn_Posts!B:B,$B134))</f>
        <v/>
      </c>
      <c r="S134" s="7" t="str">
        <f>IF($A134="","",SUMIFS(LinkedIn_Posts!G:G,LinkedIn_Posts!A:A,$A134,LinkedIn_Posts!B:B,$B134))</f>
        <v/>
      </c>
      <c r="T134" s="7" t="str">
        <f>IF($A134="","",SUMIFS(LinkedIn_Posts!H:H,LinkedIn_Posts!A:A,$A134,LinkedIn_Posts!B:B,$B134))</f>
        <v/>
      </c>
      <c r="U134" s="7" t="str">
        <f>IF($A134="","",SUMIFS(LinkedIn_Posts!I:I,LinkedIn_Posts!A:A,$A134,LinkedIn_Posts!B:B,$B134))</f>
        <v/>
      </c>
    </row>
    <row r="135">
      <c r="A135" s="7" t="s">
        <v>47</v>
      </c>
      <c r="B135" s="7" t="s">
        <v>47</v>
      </c>
      <c r="C135" s="7" t="s">
        <v>47</v>
      </c>
      <c r="D135" s="7" t="str">
        <f>IF($A135="","",SUMIFS(YouTube_Long!G:G,YouTube_Long!A:A,$A135,YouTube_Long!B:B,$B135))</f>
        <v/>
      </c>
      <c r="E135" s="7" t="str">
        <f>IF($A135="","",SUMIFS(YouTube_Long!H:H,YouTube_Long!A:A,$A135,YouTube_Long!B:B,$B135))</f>
        <v/>
      </c>
      <c r="F135" s="7" t="str">
        <f>IF($A135="","",SUMIFS(YouTube_Long!I:I,YouTube_Long!A:A,$A135,YouTube_Long!B:B,$B135))</f>
        <v/>
      </c>
      <c r="G135" s="7" t="str">
        <f>IF($A135="","",COUNTIFS(YouTube_Shorts!A:A,$A135,YouTube_Shorts!B:B,$B135))</f>
        <v/>
      </c>
      <c r="H135" s="7" t="str">
        <f>IF($A135="","",SUMIFS(YouTube_Shorts!F:F,YouTube_Shorts!A:A,$A135,YouTube_Shorts!B:B,$B135))</f>
        <v/>
      </c>
      <c r="I135" s="7" t="str">
        <f>IF($A135="","",SUMIFS(YouTube_Shorts!G:G,YouTube_Shorts!A:A,$A135,YouTube_Shorts!B:B,$B135))</f>
        <v/>
      </c>
      <c r="J135" s="7" t="str">
        <f t="shared" si="1"/>
        <v/>
      </c>
      <c r="K135" s="7" t="str">
        <f>IF($A135="","",SUMIFS(Audio!D:D,Audio!A:A,$A135,Audio!B:B,$B135))</f>
        <v/>
      </c>
      <c r="L135" s="7" t="str">
        <f>IF($A135="","",COUNTIFS(TikTok_Posts!A:A,$A135,TikTok_Posts!B:B,$B135))</f>
        <v/>
      </c>
      <c r="M135" s="7" t="str">
        <f>IF($A135="","",SUMIFS(TikTok_Posts!E:E,TikTok_Posts!A:A,$A135,TikTok_Posts!B:B,$B135))</f>
        <v/>
      </c>
      <c r="N135" s="7" t="str">
        <f>IF($A135="","",COUNTIFS(Instagram_Posts!A:A,$A135,Instagram_Posts!B:B,$B135))</f>
        <v/>
      </c>
      <c r="O135" s="7" t="str">
        <f>IF($A135="","",SUMIFS(Instagram_Posts!E:E,Instagram_Posts!A:A,$A135,Instagram_Posts!B:B,$B135))</f>
        <v/>
      </c>
      <c r="P135" s="7" t="str">
        <f>IF($A135="","",SUMIFS(Blog!E:E,Blog!B:B,$A135,Blog!C:C,$B135))</f>
        <v/>
      </c>
      <c r="Q135" s="7" t="str">
        <f>IF($A135="","",COUNTIFS(LinkedIn_Posts!A:A,$A135,LinkedIn_Posts!B:B,$B135))</f>
        <v/>
      </c>
      <c r="R135" s="7" t="str">
        <f>IF($A135="","",SUMIFS(LinkedIn_Posts!F:F,LinkedIn_Posts!A:A,$A135,LinkedIn_Posts!B:B,$B135))</f>
        <v/>
      </c>
      <c r="S135" s="7" t="str">
        <f>IF($A135="","",SUMIFS(LinkedIn_Posts!G:G,LinkedIn_Posts!A:A,$A135,LinkedIn_Posts!B:B,$B135))</f>
        <v/>
      </c>
      <c r="T135" s="7" t="str">
        <f>IF($A135="","",SUMIFS(LinkedIn_Posts!H:H,LinkedIn_Posts!A:A,$A135,LinkedIn_Posts!B:B,$B135))</f>
        <v/>
      </c>
      <c r="U135" s="7" t="str">
        <f>IF($A135="","",SUMIFS(LinkedIn_Posts!I:I,LinkedIn_Posts!A:A,$A135,LinkedIn_Posts!B:B,$B135))</f>
        <v/>
      </c>
    </row>
    <row r="136">
      <c r="A136" s="7" t="s">
        <v>47</v>
      </c>
      <c r="B136" s="7" t="s">
        <v>47</v>
      </c>
      <c r="C136" s="7" t="s">
        <v>47</v>
      </c>
      <c r="D136" s="7" t="str">
        <f>IF($A136="","",SUMIFS(YouTube_Long!G:G,YouTube_Long!A:A,$A136,YouTube_Long!B:B,$B136))</f>
        <v/>
      </c>
      <c r="E136" s="7" t="str">
        <f>IF($A136="","",SUMIFS(YouTube_Long!H:H,YouTube_Long!A:A,$A136,YouTube_Long!B:B,$B136))</f>
        <v/>
      </c>
      <c r="F136" s="7" t="str">
        <f>IF($A136="","",SUMIFS(YouTube_Long!I:I,YouTube_Long!A:A,$A136,YouTube_Long!B:B,$B136))</f>
        <v/>
      </c>
      <c r="G136" s="7" t="str">
        <f>IF($A136="","",COUNTIFS(YouTube_Shorts!A:A,$A136,YouTube_Shorts!B:B,$B136))</f>
        <v/>
      </c>
      <c r="H136" s="7" t="str">
        <f>IF($A136="","",SUMIFS(YouTube_Shorts!F:F,YouTube_Shorts!A:A,$A136,YouTube_Shorts!B:B,$B136))</f>
        <v/>
      </c>
      <c r="I136" s="7" t="str">
        <f>IF($A136="","",SUMIFS(YouTube_Shorts!G:G,YouTube_Shorts!A:A,$A136,YouTube_Shorts!B:B,$B136))</f>
        <v/>
      </c>
      <c r="J136" s="7" t="str">
        <f t="shared" si="1"/>
        <v/>
      </c>
      <c r="K136" s="7" t="str">
        <f>IF($A136="","",SUMIFS(Audio!D:D,Audio!A:A,$A136,Audio!B:B,$B136))</f>
        <v/>
      </c>
      <c r="L136" s="7" t="str">
        <f>IF($A136="","",COUNTIFS(TikTok_Posts!A:A,$A136,TikTok_Posts!B:B,$B136))</f>
        <v/>
      </c>
      <c r="M136" s="7" t="str">
        <f>IF($A136="","",SUMIFS(TikTok_Posts!E:E,TikTok_Posts!A:A,$A136,TikTok_Posts!B:B,$B136))</f>
        <v/>
      </c>
      <c r="N136" s="7" t="str">
        <f>IF($A136="","",COUNTIFS(Instagram_Posts!A:A,$A136,Instagram_Posts!B:B,$B136))</f>
        <v/>
      </c>
      <c r="O136" s="7" t="str">
        <f>IF($A136="","",SUMIFS(Instagram_Posts!E:E,Instagram_Posts!A:A,$A136,Instagram_Posts!B:B,$B136))</f>
        <v/>
      </c>
      <c r="P136" s="7" t="str">
        <f>IF($A136="","",SUMIFS(Blog!E:E,Blog!B:B,$A136,Blog!C:C,$B136))</f>
        <v/>
      </c>
      <c r="Q136" s="7" t="str">
        <f>IF($A136="","",COUNTIFS(LinkedIn_Posts!A:A,$A136,LinkedIn_Posts!B:B,$B136))</f>
        <v/>
      </c>
      <c r="R136" s="7" t="str">
        <f>IF($A136="","",SUMIFS(LinkedIn_Posts!F:F,LinkedIn_Posts!A:A,$A136,LinkedIn_Posts!B:B,$B136))</f>
        <v/>
      </c>
      <c r="S136" s="7" t="str">
        <f>IF($A136="","",SUMIFS(LinkedIn_Posts!G:G,LinkedIn_Posts!A:A,$A136,LinkedIn_Posts!B:B,$B136))</f>
        <v/>
      </c>
      <c r="T136" s="7" t="str">
        <f>IF($A136="","",SUMIFS(LinkedIn_Posts!H:H,LinkedIn_Posts!A:A,$A136,LinkedIn_Posts!B:B,$B136))</f>
        <v/>
      </c>
      <c r="U136" s="7" t="str">
        <f>IF($A136="","",SUMIFS(LinkedIn_Posts!I:I,LinkedIn_Posts!A:A,$A136,LinkedIn_Posts!B:B,$B136))</f>
        <v/>
      </c>
    </row>
    <row r="137">
      <c r="A137" s="7" t="s">
        <v>47</v>
      </c>
      <c r="B137" s="7" t="s">
        <v>47</v>
      </c>
      <c r="C137" s="7" t="s">
        <v>47</v>
      </c>
      <c r="D137" s="7" t="str">
        <f>IF($A137="","",SUMIFS(YouTube_Long!G:G,YouTube_Long!A:A,$A137,YouTube_Long!B:B,$B137))</f>
        <v/>
      </c>
      <c r="E137" s="7" t="str">
        <f>IF($A137="","",SUMIFS(YouTube_Long!H:H,YouTube_Long!A:A,$A137,YouTube_Long!B:B,$B137))</f>
        <v/>
      </c>
      <c r="F137" s="7" t="str">
        <f>IF($A137="","",SUMIFS(YouTube_Long!I:I,YouTube_Long!A:A,$A137,YouTube_Long!B:B,$B137))</f>
        <v/>
      </c>
      <c r="G137" s="7" t="str">
        <f>IF($A137="","",COUNTIFS(YouTube_Shorts!A:A,$A137,YouTube_Shorts!B:B,$B137))</f>
        <v/>
      </c>
      <c r="H137" s="7" t="str">
        <f>IF($A137="","",SUMIFS(YouTube_Shorts!F:F,YouTube_Shorts!A:A,$A137,YouTube_Shorts!B:B,$B137))</f>
        <v/>
      </c>
      <c r="I137" s="7" t="str">
        <f>IF($A137="","",SUMIFS(YouTube_Shorts!G:G,YouTube_Shorts!A:A,$A137,YouTube_Shorts!B:B,$B137))</f>
        <v/>
      </c>
      <c r="J137" s="7" t="str">
        <f t="shared" si="1"/>
        <v/>
      </c>
      <c r="K137" s="7" t="str">
        <f>IF($A137="","",SUMIFS(Audio!D:D,Audio!A:A,$A137,Audio!B:B,$B137))</f>
        <v/>
      </c>
      <c r="L137" s="7" t="str">
        <f>IF($A137="","",COUNTIFS(TikTok_Posts!A:A,$A137,TikTok_Posts!B:B,$B137))</f>
        <v/>
      </c>
      <c r="M137" s="7" t="str">
        <f>IF($A137="","",SUMIFS(TikTok_Posts!E:E,TikTok_Posts!A:A,$A137,TikTok_Posts!B:B,$B137))</f>
        <v/>
      </c>
      <c r="N137" s="7" t="str">
        <f>IF($A137="","",COUNTIFS(Instagram_Posts!A:A,$A137,Instagram_Posts!B:B,$B137))</f>
        <v/>
      </c>
      <c r="O137" s="7" t="str">
        <f>IF($A137="","",SUMIFS(Instagram_Posts!E:E,Instagram_Posts!A:A,$A137,Instagram_Posts!B:B,$B137))</f>
        <v/>
      </c>
      <c r="P137" s="7" t="str">
        <f>IF($A137="","",SUMIFS(Blog!E:E,Blog!B:B,$A137,Blog!C:C,$B137))</f>
        <v/>
      </c>
      <c r="Q137" s="7" t="str">
        <f>IF($A137="","",COUNTIFS(LinkedIn_Posts!A:A,$A137,LinkedIn_Posts!B:B,$B137))</f>
        <v/>
      </c>
      <c r="R137" s="7" t="str">
        <f>IF($A137="","",SUMIFS(LinkedIn_Posts!F:F,LinkedIn_Posts!A:A,$A137,LinkedIn_Posts!B:B,$B137))</f>
        <v/>
      </c>
      <c r="S137" s="7" t="str">
        <f>IF($A137="","",SUMIFS(LinkedIn_Posts!G:G,LinkedIn_Posts!A:A,$A137,LinkedIn_Posts!B:B,$B137))</f>
        <v/>
      </c>
      <c r="T137" s="7" t="str">
        <f>IF($A137="","",SUMIFS(LinkedIn_Posts!H:H,LinkedIn_Posts!A:A,$A137,LinkedIn_Posts!B:B,$B137))</f>
        <v/>
      </c>
      <c r="U137" s="7" t="str">
        <f>IF($A137="","",SUMIFS(LinkedIn_Posts!I:I,LinkedIn_Posts!A:A,$A137,LinkedIn_Posts!B:B,$B137))</f>
        <v/>
      </c>
    </row>
    <row r="138">
      <c r="A138" s="7" t="s">
        <v>47</v>
      </c>
      <c r="B138" s="7" t="s">
        <v>47</v>
      </c>
      <c r="C138" s="7" t="s">
        <v>47</v>
      </c>
      <c r="D138" s="7" t="str">
        <f>IF($A138="","",SUMIFS(YouTube_Long!G:G,YouTube_Long!A:A,$A138,YouTube_Long!B:B,$B138))</f>
        <v/>
      </c>
      <c r="E138" s="7" t="str">
        <f>IF($A138="","",SUMIFS(YouTube_Long!H:H,YouTube_Long!A:A,$A138,YouTube_Long!B:B,$B138))</f>
        <v/>
      </c>
      <c r="F138" s="7" t="str">
        <f>IF($A138="","",SUMIFS(YouTube_Long!I:I,YouTube_Long!A:A,$A138,YouTube_Long!B:B,$B138))</f>
        <v/>
      </c>
      <c r="G138" s="7" t="str">
        <f>IF($A138="","",COUNTIFS(YouTube_Shorts!A:A,$A138,YouTube_Shorts!B:B,$B138))</f>
        <v/>
      </c>
      <c r="H138" s="7" t="str">
        <f>IF($A138="","",SUMIFS(YouTube_Shorts!F:F,YouTube_Shorts!A:A,$A138,YouTube_Shorts!B:B,$B138))</f>
        <v/>
      </c>
      <c r="I138" s="7" t="str">
        <f>IF($A138="","",SUMIFS(YouTube_Shorts!G:G,YouTube_Shorts!A:A,$A138,YouTube_Shorts!B:B,$B138))</f>
        <v/>
      </c>
      <c r="J138" s="7" t="str">
        <f t="shared" si="1"/>
        <v/>
      </c>
      <c r="K138" s="7" t="str">
        <f>IF($A138="","",SUMIFS(Audio!D:D,Audio!A:A,$A138,Audio!B:B,$B138))</f>
        <v/>
      </c>
      <c r="L138" s="7" t="str">
        <f>IF($A138="","",COUNTIFS(TikTok_Posts!A:A,$A138,TikTok_Posts!B:B,$B138))</f>
        <v/>
      </c>
      <c r="M138" s="7" t="str">
        <f>IF($A138="","",SUMIFS(TikTok_Posts!E:E,TikTok_Posts!A:A,$A138,TikTok_Posts!B:B,$B138))</f>
        <v/>
      </c>
      <c r="N138" s="7" t="str">
        <f>IF($A138="","",COUNTIFS(Instagram_Posts!A:A,$A138,Instagram_Posts!B:B,$B138))</f>
        <v/>
      </c>
      <c r="O138" s="7" t="str">
        <f>IF($A138="","",SUMIFS(Instagram_Posts!E:E,Instagram_Posts!A:A,$A138,Instagram_Posts!B:B,$B138))</f>
        <v/>
      </c>
      <c r="P138" s="7" t="str">
        <f>IF($A138="","",SUMIFS(Blog!E:E,Blog!B:B,$A138,Blog!C:C,$B138))</f>
        <v/>
      </c>
      <c r="Q138" s="7" t="str">
        <f>IF($A138="","",COUNTIFS(LinkedIn_Posts!A:A,$A138,LinkedIn_Posts!B:B,$B138))</f>
        <v/>
      </c>
      <c r="R138" s="7" t="str">
        <f>IF($A138="","",SUMIFS(LinkedIn_Posts!F:F,LinkedIn_Posts!A:A,$A138,LinkedIn_Posts!B:B,$B138))</f>
        <v/>
      </c>
      <c r="S138" s="7" t="str">
        <f>IF($A138="","",SUMIFS(LinkedIn_Posts!G:G,LinkedIn_Posts!A:A,$A138,LinkedIn_Posts!B:B,$B138))</f>
        <v/>
      </c>
      <c r="T138" s="7" t="str">
        <f>IF($A138="","",SUMIFS(LinkedIn_Posts!H:H,LinkedIn_Posts!A:A,$A138,LinkedIn_Posts!B:B,$B138))</f>
        <v/>
      </c>
      <c r="U138" s="7" t="str">
        <f>IF($A138="","",SUMIFS(LinkedIn_Posts!I:I,LinkedIn_Posts!A:A,$A138,LinkedIn_Posts!B:B,$B138))</f>
        <v/>
      </c>
    </row>
    <row r="139">
      <c r="A139" s="7" t="s">
        <v>47</v>
      </c>
      <c r="B139" s="7" t="s">
        <v>47</v>
      </c>
      <c r="C139" s="7" t="s">
        <v>47</v>
      </c>
      <c r="D139" s="7" t="str">
        <f>IF($A139="","",SUMIFS(YouTube_Long!G:G,YouTube_Long!A:A,$A139,YouTube_Long!B:B,$B139))</f>
        <v/>
      </c>
      <c r="E139" s="7" t="str">
        <f>IF($A139="","",SUMIFS(YouTube_Long!H:H,YouTube_Long!A:A,$A139,YouTube_Long!B:B,$B139))</f>
        <v/>
      </c>
      <c r="F139" s="7" t="str">
        <f>IF($A139="","",SUMIFS(YouTube_Long!I:I,YouTube_Long!A:A,$A139,YouTube_Long!B:B,$B139))</f>
        <v/>
      </c>
      <c r="G139" s="7" t="str">
        <f>IF($A139="","",COUNTIFS(YouTube_Shorts!A:A,$A139,YouTube_Shorts!B:B,$B139))</f>
        <v/>
      </c>
      <c r="H139" s="7" t="str">
        <f>IF($A139="","",SUMIFS(YouTube_Shorts!F:F,YouTube_Shorts!A:A,$A139,YouTube_Shorts!B:B,$B139))</f>
        <v/>
      </c>
      <c r="I139" s="7" t="str">
        <f>IF($A139="","",SUMIFS(YouTube_Shorts!G:G,YouTube_Shorts!A:A,$A139,YouTube_Shorts!B:B,$B139))</f>
        <v/>
      </c>
      <c r="J139" s="7" t="str">
        <f t="shared" si="1"/>
        <v/>
      </c>
      <c r="K139" s="7" t="str">
        <f>IF($A139="","",SUMIFS(Audio!D:D,Audio!A:A,$A139,Audio!B:B,$B139))</f>
        <v/>
      </c>
      <c r="L139" s="7" t="str">
        <f>IF($A139="","",COUNTIFS(TikTok_Posts!A:A,$A139,TikTok_Posts!B:B,$B139))</f>
        <v/>
      </c>
      <c r="M139" s="7" t="str">
        <f>IF($A139="","",SUMIFS(TikTok_Posts!E:E,TikTok_Posts!A:A,$A139,TikTok_Posts!B:B,$B139))</f>
        <v/>
      </c>
      <c r="N139" s="7" t="str">
        <f>IF($A139="","",COUNTIFS(Instagram_Posts!A:A,$A139,Instagram_Posts!B:B,$B139))</f>
        <v/>
      </c>
      <c r="O139" s="7" t="str">
        <f>IF($A139="","",SUMIFS(Instagram_Posts!E:E,Instagram_Posts!A:A,$A139,Instagram_Posts!B:B,$B139))</f>
        <v/>
      </c>
      <c r="P139" s="7" t="str">
        <f>IF($A139="","",SUMIFS(Blog!E:E,Blog!B:B,$A139,Blog!C:C,$B139))</f>
        <v/>
      </c>
      <c r="Q139" s="7" t="str">
        <f>IF($A139="","",COUNTIFS(LinkedIn_Posts!A:A,$A139,LinkedIn_Posts!B:B,$B139))</f>
        <v/>
      </c>
      <c r="R139" s="7" t="str">
        <f>IF($A139="","",SUMIFS(LinkedIn_Posts!F:F,LinkedIn_Posts!A:A,$A139,LinkedIn_Posts!B:B,$B139))</f>
        <v/>
      </c>
      <c r="S139" s="7" t="str">
        <f>IF($A139="","",SUMIFS(LinkedIn_Posts!G:G,LinkedIn_Posts!A:A,$A139,LinkedIn_Posts!B:B,$B139))</f>
        <v/>
      </c>
      <c r="T139" s="7" t="str">
        <f>IF($A139="","",SUMIFS(LinkedIn_Posts!H:H,LinkedIn_Posts!A:A,$A139,LinkedIn_Posts!B:B,$B139))</f>
        <v/>
      </c>
      <c r="U139" s="7" t="str">
        <f>IF($A139="","",SUMIFS(LinkedIn_Posts!I:I,LinkedIn_Posts!A:A,$A139,LinkedIn_Posts!B:B,$B139))</f>
        <v/>
      </c>
    </row>
    <row r="140">
      <c r="A140" s="7" t="s">
        <v>47</v>
      </c>
      <c r="B140" s="7" t="s">
        <v>47</v>
      </c>
      <c r="C140" s="7" t="s">
        <v>47</v>
      </c>
      <c r="D140" s="7" t="str">
        <f>IF($A140="","",SUMIFS(YouTube_Long!G:G,YouTube_Long!A:A,$A140,YouTube_Long!B:B,$B140))</f>
        <v/>
      </c>
      <c r="E140" s="7" t="str">
        <f>IF($A140="","",SUMIFS(YouTube_Long!H:H,YouTube_Long!A:A,$A140,YouTube_Long!B:B,$B140))</f>
        <v/>
      </c>
      <c r="F140" s="7" t="str">
        <f>IF($A140="","",SUMIFS(YouTube_Long!I:I,YouTube_Long!A:A,$A140,YouTube_Long!B:B,$B140))</f>
        <v/>
      </c>
      <c r="G140" s="7" t="str">
        <f>IF($A140="","",COUNTIFS(YouTube_Shorts!A:A,$A140,YouTube_Shorts!B:B,$B140))</f>
        <v/>
      </c>
      <c r="H140" s="7" t="str">
        <f>IF($A140="","",SUMIFS(YouTube_Shorts!F:F,YouTube_Shorts!A:A,$A140,YouTube_Shorts!B:B,$B140))</f>
        <v/>
      </c>
      <c r="I140" s="7" t="str">
        <f>IF($A140="","",SUMIFS(YouTube_Shorts!G:G,YouTube_Shorts!A:A,$A140,YouTube_Shorts!B:B,$B140))</f>
        <v/>
      </c>
      <c r="J140" s="7" t="str">
        <f t="shared" si="1"/>
        <v/>
      </c>
      <c r="K140" s="7" t="str">
        <f>IF($A140="","",SUMIFS(Audio!D:D,Audio!A:A,$A140,Audio!B:B,$B140))</f>
        <v/>
      </c>
      <c r="L140" s="7" t="str">
        <f>IF($A140="","",COUNTIFS(TikTok_Posts!A:A,$A140,TikTok_Posts!B:B,$B140))</f>
        <v/>
      </c>
      <c r="M140" s="7" t="str">
        <f>IF($A140="","",SUMIFS(TikTok_Posts!E:E,TikTok_Posts!A:A,$A140,TikTok_Posts!B:B,$B140))</f>
        <v/>
      </c>
      <c r="N140" s="7" t="str">
        <f>IF($A140="","",COUNTIFS(Instagram_Posts!A:A,$A140,Instagram_Posts!B:B,$B140))</f>
        <v/>
      </c>
      <c r="O140" s="7" t="str">
        <f>IF($A140="","",SUMIFS(Instagram_Posts!E:E,Instagram_Posts!A:A,$A140,Instagram_Posts!B:B,$B140))</f>
        <v/>
      </c>
      <c r="P140" s="7" t="str">
        <f>IF($A140="","",SUMIFS(Blog!E:E,Blog!B:B,$A140,Blog!C:C,$B140))</f>
        <v/>
      </c>
      <c r="Q140" s="7" t="str">
        <f>IF($A140="","",COUNTIFS(LinkedIn_Posts!A:A,$A140,LinkedIn_Posts!B:B,$B140))</f>
        <v/>
      </c>
      <c r="R140" s="7" t="str">
        <f>IF($A140="","",SUMIFS(LinkedIn_Posts!F:F,LinkedIn_Posts!A:A,$A140,LinkedIn_Posts!B:B,$B140))</f>
        <v/>
      </c>
      <c r="S140" s="7" t="str">
        <f>IF($A140="","",SUMIFS(LinkedIn_Posts!G:G,LinkedIn_Posts!A:A,$A140,LinkedIn_Posts!B:B,$B140))</f>
        <v/>
      </c>
      <c r="T140" s="7" t="str">
        <f>IF($A140="","",SUMIFS(LinkedIn_Posts!H:H,LinkedIn_Posts!A:A,$A140,LinkedIn_Posts!B:B,$B140))</f>
        <v/>
      </c>
      <c r="U140" s="7" t="str">
        <f>IF($A140="","",SUMIFS(LinkedIn_Posts!I:I,LinkedIn_Posts!A:A,$A140,LinkedIn_Posts!B:B,$B140))</f>
        <v/>
      </c>
    </row>
    <row r="141">
      <c r="A141" s="7" t="s">
        <v>47</v>
      </c>
      <c r="B141" s="7" t="s">
        <v>47</v>
      </c>
      <c r="C141" s="7" t="s">
        <v>47</v>
      </c>
      <c r="D141" s="7" t="str">
        <f>IF($A141="","",SUMIFS(YouTube_Long!G:G,YouTube_Long!A:A,$A141,YouTube_Long!B:B,$B141))</f>
        <v/>
      </c>
      <c r="E141" s="7" t="str">
        <f>IF($A141="","",SUMIFS(YouTube_Long!H:H,YouTube_Long!A:A,$A141,YouTube_Long!B:B,$B141))</f>
        <v/>
      </c>
      <c r="F141" s="7" t="str">
        <f>IF($A141="","",SUMIFS(YouTube_Long!I:I,YouTube_Long!A:A,$A141,YouTube_Long!B:B,$B141))</f>
        <v/>
      </c>
      <c r="G141" s="7" t="str">
        <f>IF($A141="","",COUNTIFS(YouTube_Shorts!A:A,$A141,YouTube_Shorts!B:B,$B141))</f>
        <v/>
      </c>
      <c r="H141" s="7" t="str">
        <f>IF($A141="","",SUMIFS(YouTube_Shorts!F:F,YouTube_Shorts!A:A,$A141,YouTube_Shorts!B:B,$B141))</f>
        <v/>
      </c>
      <c r="I141" s="7" t="str">
        <f>IF($A141="","",SUMIFS(YouTube_Shorts!G:G,YouTube_Shorts!A:A,$A141,YouTube_Shorts!B:B,$B141))</f>
        <v/>
      </c>
      <c r="J141" s="7" t="str">
        <f t="shared" si="1"/>
        <v/>
      </c>
      <c r="K141" s="7" t="str">
        <f>IF($A141="","",SUMIFS(Audio!D:D,Audio!A:A,$A141,Audio!B:B,$B141))</f>
        <v/>
      </c>
      <c r="L141" s="7" t="str">
        <f>IF($A141="","",COUNTIFS(TikTok_Posts!A:A,$A141,TikTok_Posts!B:B,$B141))</f>
        <v/>
      </c>
      <c r="M141" s="7" t="str">
        <f>IF($A141="","",SUMIFS(TikTok_Posts!E:E,TikTok_Posts!A:A,$A141,TikTok_Posts!B:B,$B141))</f>
        <v/>
      </c>
      <c r="N141" s="7" t="str">
        <f>IF($A141="","",COUNTIFS(Instagram_Posts!A:A,$A141,Instagram_Posts!B:B,$B141))</f>
        <v/>
      </c>
      <c r="O141" s="7" t="str">
        <f>IF($A141="","",SUMIFS(Instagram_Posts!E:E,Instagram_Posts!A:A,$A141,Instagram_Posts!B:B,$B141))</f>
        <v/>
      </c>
      <c r="P141" s="7" t="str">
        <f>IF($A141="","",SUMIFS(Blog!E:E,Blog!B:B,$A141,Blog!C:C,$B141))</f>
        <v/>
      </c>
      <c r="Q141" s="7" t="str">
        <f>IF($A141="","",COUNTIFS(LinkedIn_Posts!A:A,$A141,LinkedIn_Posts!B:B,$B141))</f>
        <v/>
      </c>
      <c r="R141" s="7" t="str">
        <f>IF($A141="","",SUMIFS(LinkedIn_Posts!F:F,LinkedIn_Posts!A:A,$A141,LinkedIn_Posts!B:B,$B141))</f>
        <v/>
      </c>
      <c r="S141" s="7" t="str">
        <f>IF($A141="","",SUMIFS(LinkedIn_Posts!G:G,LinkedIn_Posts!A:A,$A141,LinkedIn_Posts!B:B,$B141))</f>
        <v/>
      </c>
      <c r="T141" s="7" t="str">
        <f>IF($A141="","",SUMIFS(LinkedIn_Posts!H:H,LinkedIn_Posts!A:A,$A141,LinkedIn_Posts!B:B,$B141))</f>
        <v/>
      </c>
      <c r="U141" s="7" t="str">
        <f>IF($A141="","",SUMIFS(LinkedIn_Posts!I:I,LinkedIn_Posts!A:A,$A141,LinkedIn_Posts!B:B,$B141))</f>
        <v/>
      </c>
    </row>
    <row r="142">
      <c r="A142" s="7" t="s">
        <v>47</v>
      </c>
      <c r="B142" s="7" t="s">
        <v>47</v>
      </c>
      <c r="C142" s="7" t="s">
        <v>47</v>
      </c>
      <c r="D142" s="7" t="str">
        <f>IF($A142="","",SUMIFS(YouTube_Long!G:G,YouTube_Long!A:A,$A142,YouTube_Long!B:B,$B142))</f>
        <v/>
      </c>
      <c r="E142" s="7" t="str">
        <f>IF($A142="","",SUMIFS(YouTube_Long!H:H,YouTube_Long!A:A,$A142,YouTube_Long!B:B,$B142))</f>
        <v/>
      </c>
      <c r="F142" s="7" t="str">
        <f>IF($A142="","",SUMIFS(YouTube_Long!I:I,YouTube_Long!A:A,$A142,YouTube_Long!B:B,$B142))</f>
        <v/>
      </c>
      <c r="G142" s="7" t="str">
        <f>IF($A142="","",COUNTIFS(YouTube_Shorts!A:A,$A142,YouTube_Shorts!B:B,$B142))</f>
        <v/>
      </c>
      <c r="H142" s="7" t="str">
        <f>IF($A142="","",SUMIFS(YouTube_Shorts!F:F,YouTube_Shorts!A:A,$A142,YouTube_Shorts!B:B,$B142))</f>
        <v/>
      </c>
      <c r="I142" s="7" t="str">
        <f>IF($A142="","",SUMIFS(YouTube_Shorts!G:G,YouTube_Shorts!A:A,$A142,YouTube_Shorts!B:B,$B142))</f>
        <v/>
      </c>
      <c r="J142" s="7" t="str">
        <f t="shared" si="1"/>
        <v/>
      </c>
      <c r="K142" s="7" t="str">
        <f>IF($A142="","",SUMIFS(Audio!D:D,Audio!A:A,$A142,Audio!B:B,$B142))</f>
        <v/>
      </c>
      <c r="L142" s="7" t="str">
        <f>IF($A142="","",COUNTIFS(TikTok_Posts!A:A,$A142,TikTok_Posts!B:B,$B142))</f>
        <v/>
      </c>
      <c r="M142" s="7" t="str">
        <f>IF($A142="","",SUMIFS(TikTok_Posts!E:E,TikTok_Posts!A:A,$A142,TikTok_Posts!B:B,$B142))</f>
        <v/>
      </c>
      <c r="N142" s="7" t="str">
        <f>IF($A142="","",COUNTIFS(Instagram_Posts!A:A,$A142,Instagram_Posts!B:B,$B142))</f>
        <v/>
      </c>
      <c r="O142" s="7" t="str">
        <f>IF($A142="","",SUMIFS(Instagram_Posts!E:E,Instagram_Posts!A:A,$A142,Instagram_Posts!B:B,$B142))</f>
        <v/>
      </c>
      <c r="P142" s="7" t="str">
        <f>IF($A142="","",SUMIFS(Blog!E:E,Blog!B:B,$A142,Blog!C:C,$B142))</f>
        <v/>
      </c>
      <c r="Q142" s="7" t="str">
        <f>IF($A142="","",COUNTIFS(LinkedIn_Posts!A:A,$A142,LinkedIn_Posts!B:B,$B142))</f>
        <v/>
      </c>
      <c r="R142" s="7" t="str">
        <f>IF($A142="","",SUMIFS(LinkedIn_Posts!F:F,LinkedIn_Posts!A:A,$A142,LinkedIn_Posts!B:B,$B142))</f>
        <v/>
      </c>
      <c r="S142" s="7" t="str">
        <f>IF($A142="","",SUMIFS(LinkedIn_Posts!G:G,LinkedIn_Posts!A:A,$A142,LinkedIn_Posts!B:B,$B142))</f>
        <v/>
      </c>
      <c r="T142" s="7" t="str">
        <f>IF($A142="","",SUMIFS(LinkedIn_Posts!H:H,LinkedIn_Posts!A:A,$A142,LinkedIn_Posts!B:B,$B142))</f>
        <v/>
      </c>
      <c r="U142" s="7" t="str">
        <f>IF($A142="","",SUMIFS(LinkedIn_Posts!I:I,LinkedIn_Posts!A:A,$A142,LinkedIn_Posts!B:B,$B142))</f>
        <v/>
      </c>
    </row>
    <row r="143">
      <c r="A143" s="7" t="s">
        <v>47</v>
      </c>
      <c r="B143" s="7" t="s">
        <v>47</v>
      </c>
      <c r="C143" s="7" t="s">
        <v>47</v>
      </c>
      <c r="D143" s="7" t="str">
        <f>IF($A143="","",SUMIFS(YouTube_Long!G:G,YouTube_Long!A:A,$A143,YouTube_Long!B:B,$B143))</f>
        <v/>
      </c>
      <c r="E143" s="7" t="str">
        <f>IF($A143="","",SUMIFS(YouTube_Long!H:H,YouTube_Long!A:A,$A143,YouTube_Long!B:B,$B143))</f>
        <v/>
      </c>
      <c r="F143" s="7" t="str">
        <f>IF($A143="","",SUMIFS(YouTube_Long!I:I,YouTube_Long!A:A,$A143,YouTube_Long!B:B,$B143))</f>
        <v/>
      </c>
      <c r="G143" s="7" t="str">
        <f>IF($A143="","",COUNTIFS(YouTube_Shorts!A:A,$A143,YouTube_Shorts!B:B,$B143))</f>
        <v/>
      </c>
      <c r="H143" s="7" t="str">
        <f>IF($A143="","",SUMIFS(YouTube_Shorts!F:F,YouTube_Shorts!A:A,$A143,YouTube_Shorts!B:B,$B143))</f>
        <v/>
      </c>
      <c r="I143" s="7" t="str">
        <f>IF($A143="","",SUMIFS(YouTube_Shorts!G:G,YouTube_Shorts!A:A,$A143,YouTube_Shorts!B:B,$B143))</f>
        <v/>
      </c>
      <c r="J143" s="7" t="str">
        <f t="shared" si="1"/>
        <v/>
      </c>
      <c r="K143" s="7" t="str">
        <f>IF($A143="","",SUMIFS(Audio!D:D,Audio!A:A,$A143,Audio!B:B,$B143))</f>
        <v/>
      </c>
      <c r="L143" s="7" t="str">
        <f>IF($A143="","",COUNTIFS(TikTok_Posts!A:A,$A143,TikTok_Posts!B:B,$B143))</f>
        <v/>
      </c>
      <c r="M143" s="7" t="str">
        <f>IF($A143="","",SUMIFS(TikTok_Posts!E:E,TikTok_Posts!A:A,$A143,TikTok_Posts!B:B,$B143))</f>
        <v/>
      </c>
      <c r="N143" s="7" t="str">
        <f>IF($A143="","",COUNTIFS(Instagram_Posts!A:A,$A143,Instagram_Posts!B:B,$B143))</f>
        <v/>
      </c>
      <c r="O143" s="7" t="str">
        <f>IF($A143="","",SUMIFS(Instagram_Posts!E:E,Instagram_Posts!A:A,$A143,Instagram_Posts!B:B,$B143))</f>
        <v/>
      </c>
      <c r="P143" s="7" t="str">
        <f>IF($A143="","",SUMIFS(Blog!E:E,Blog!B:B,$A143,Blog!C:C,$B143))</f>
        <v/>
      </c>
      <c r="Q143" s="7" t="str">
        <f>IF($A143="","",COUNTIFS(LinkedIn_Posts!A:A,$A143,LinkedIn_Posts!B:B,$B143))</f>
        <v/>
      </c>
      <c r="R143" s="7" t="str">
        <f>IF($A143="","",SUMIFS(LinkedIn_Posts!F:F,LinkedIn_Posts!A:A,$A143,LinkedIn_Posts!B:B,$B143))</f>
        <v/>
      </c>
      <c r="S143" s="7" t="str">
        <f>IF($A143="","",SUMIFS(LinkedIn_Posts!G:G,LinkedIn_Posts!A:A,$A143,LinkedIn_Posts!B:B,$B143))</f>
        <v/>
      </c>
      <c r="T143" s="7" t="str">
        <f>IF($A143="","",SUMIFS(LinkedIn_Posts!H:H,LinkedIn_Posts!A:A,$A143,LinkedIn_Posts!B:B,$B143))</f>
        <v/>
      </c>
      <c r="U143" s="7" t="str">
        <f>IF($A143="","",SUMIFS(LinkedIn_Posts!I:I,LinkedIn_Posts!A:A,$A143,LinkedIn_Posts!B:B,$B143))</f>
        <v/>
      </c>
    </row>
    <row r="144">
      <c r="A144" s="7" t="s">
        <v>47</v>
      </c>
      <c r="B144" s="7" t="s">
        <v>47</v>
      </c>
      <c r="C144" s="7" t="s">
        <v>47</v>
      </c>
      <c r="D144" s="7" t="str">
        <f>IF($A144="","",SUMIFS(YouTube_Long!G:G,YouTube_Long!A:A,$A144,YouTube_Long!B:B,$B144))</f>
        <v/>
      </c>
      <c r="E144" s="7" t="str">
        <f>IF($A144="","",SUMIFS(YouTube_Long!H:H,YouTube_Long!A:A,$A144,YouTube_Long!B:B,$B144))</f>
        <v/>
      </c>
      <c r="F144" s="7" t="str">
        <f>IF($A144="","",SUMIFS(YouTube_Long!I:I,YouTube_Long!A:A,$A144,YouTube_Long!B:B,$B144))</f>
        <v/>
      </c>
      <c r="G144" s="7" t="str">
        <f>IF($A144="","",COUNTIFS(YouTube_Shorts!A:A,$A144,YouTube_Shorts!B:B,$B144))</f>
        <v/>
      </c>
      <c r="H144" s="7" t="str">
        <f>IF($A144="","",SUMIFS(YouTube_Shorts!F:F,YouTube_Shorts!A:A,$A144,YouTube_Shorts!B:B,$B144))</f>
        <v/>
      </c>
      <c r="I144" s="7" t="str">
        <f>IF($A144="","",SUMIFS(YouTube_Shorts!G:G,YouTube_Shorts!A:A,$A144,YouTube_Shorts!B:B,$B144))</f>
        <v/>
      </c>
      <c r="J144" s="7" t="str">
        <f t="shared" si="1"/>
        <v/>
      </c>
      <c r="K144" s="7" t="str">
        <f>IF($A144="","",SUMIFS(Audio!D:D,Audio!A:A,$A144,Audio!B:B,$B144))</f>
        <v/>
      </c>
      <c r="L144" s="7" t="str">
        <f>IF($A144="","",COUNTIFS(TikTok_Posts!A:A,$A144,TikTok_Posts!B:B,$B144))</f>
        <v/>
      </c>
      <c r="M144" s="7" t="str">
        <f>IF($A144="","",SUMIFS(TikTok_Posts!E:E,TikTok_Posts!A:A,$A144,TikTok_Posts!B:B,$B144))</f>
        <v/>
      </c>
      <c r="N144" s="7" t="str">
        <f>IF($A144="","",COUNTIFS(Instagram_Posts!A:A,$A144,Instagram_Posts!B:B,$B144))</f>
        <v/>
      </c>
      <c r="O144" s="7" t="str">
        <f>IF($A144="","",SUMIFS(Instagram_Posts!E:E,Instagram_Posts!A:A,$A144,Instagram_Posts!B:B,$B144))</f>
        <v/>
      </c>
      <c r="P144" s="7" t="str">
        <f>IF($A144="","",SUMIFS(Blog!E:E,Blog!B:B,$A144,Blog!C:C,$B144))</f>
        <v/>
      </c>
      <c r="Q144" s="7" t="str">
        <f>IF($A144="","",COUNTIFS(LinkedIn_Posts!A:A,$A144,LinkedIn_Posts!B:B,$B144))</f>
        <v/>
      </c>
      <c r="R144" s="7" t="str">
        <f>IF($A144="","",SUMIFS(LinkedIn_Posts!F:F,LinkedIn_Posts!A:A,$A144,LinkedIn_Posts!B:B,$B144))</f>
        <v/>
      </c>
      <c r="S144" s="7" t="str">
        <f>IF($A144="","",SUMIFS(LinkedIn_Posts!G:G,LinkedIn_Posts!A:A,$A144,LinkedIn_Posts!B:B,$B144))</f>
        <v/>
      </c>
      <c r="T144" s="7" t="str">
        <f>IF($A144="","",SUMIFS(LinkedIn_Posts!H:H,LinkedIn_Posts!A:A,$A144,LinkedIn_Posts!B:B,$B144))</f>
        <v/>
      </c>
      <c r="U144" s="7" t="str">
        <f>IF($A144="","",SUMIFS(LinkedIn_Posts!I:I,LinkedIn_Posts!A:A,$A144,LinkedIn_Posts!B:B,$B144))</f>
        <v/>
      </c>
    </row>
    <row r="145">
      <c r="A145" s="7" t="s">
        <v>47</v>
      </c>
      <c r="B145" s="7" t="s">
        <v>47</v>
      </c>
      <c r="C145" s="7" t="s">
        <v>47</v>
      </c>
      <c r="D145" s="7" t="str">
        <f>IF($A145="","",SUMIFS(YouTube_Long!G:G,YouTube_Long!A:A,$A145,YouTube_Long!B:B,$B145))</f>
        <v/>
      </c>
      <c r="E145" s="7" t="str">
        <f>IF($A145="","",SUMIFS(YouTube_Long!H:H,YouTube_Long!A:A,$A145,YouTube_Long!B:B,$B145))</f>
        <v/>
      </c>
      <c r="F145" s="7" t="str">
        <f>IF($A145="","",SUMIFS(YouTube_Long!I:I,YouTube_Long!A:A,$A145,YouTube_Long!B:B,$B145))</f>
        <v/>
      </c>
      <c r="G145" s="7" t="str">
        <f>IF($A145="","",COUNTIFS(YouTube_Shorts!A:A,$A145,YouTube_Shorts!B:B,$B145))</f>
        <v/>
      </c>
      <c r="H145" s="7" t="str">
        <f>IF($A145="","",SUMIFS(YouTube_Shorts!F:F,YouTube_Shorts!A:A,$A145,YouTube_Shorts!B:B,$B145))</f>
        <v/>
      </c>
      <c r="I145" s="7" t="str">
        <f>IF($A145="","",SUMIFS(YouTube_Shorts!G:G,YouTube_Shorts!A:A,$A145,YouTube_Shorts!B:B,$B145))</f>
        <v/>
      </c>
      <c r="J145" s="7" t="str">
        <f t="shared" si="1"/>
        <v/>
      </c>
      <c r="K145" s="7" t="str">
        <f>IF($A145="","",SUMIFS(Audio!D:D,Audio!A:A,$A145,Audio!B:B,$B145))</f>
        <v/>
      </c>
      <c r="L145" s="7" t="str">
        <f>IF($A145="","",COUNTIFS(TikTok_Posts!A:A,$A145,TikTok_Posts!B:B,$B145))</f>
        <v/>
      </c>
      <c r="M145" s="7" t="str">
        <f>IF($A145="","",SUMIFS(TikTok_Posts!E:E,TikTok_Posts!A:A,$A145,TikTok_Posts!B:B,$B145))</f>
        <v/>
      </c>
      <c r="N145" s="7" t="str">
        <f>IF($A145="","",COUNTIFS(Instagram_Posts!A:A,$A145,Instagram_Posts!B:B,$B145))</f>
        <v/>
      </c>
      <c r="O145" s="7" t="str">
        <f>IF($A145="","",SUMIFS(Instagram_Posts!E:E,Instagram_Posts!A:A,$A145,Instagram_Posts!B:B,$B145))</f>
        <v/>
      </c>
      <c r="P145" s="7" t="str">
        <f>IF($A145="","",SUMIFS(Blog!E:E,Blog!B:B,$A145,Blog!C:C,$B145))</f>
        <v/>
      </c>
      <c r="Q145" s="7" t="str">
        <f>IF($A145="","",COUNTIFS(LinkedIn_Posts!A:A,$A145,LinkedIn_Posts!B:B,$B145))</f>
        <v/>
      </c>
      <c r="R145" s="7" t="str">
        <f>IF($A145="","",SUMIFS(LinkedIn_Posts!F:F,LinkedIn_Posts!A:A,$A145,LinkedIn_Posts!B:B,$B145))</f>
        <v/>
      </c>
      <c r="S145" s="7" t="str">
        <f>IF($A145="","",SUMIFS(LinkedIn_Posts!G:G,LinkedIn_Posts!A:A,$A145,LinkedIn_Posts!B:B,$B145))</f>
        <v/>
      </c>
      <c r="T145" s="7" t="str">
        <f>IF($A145="","",SUMIFS(LinkedIn_Posts!H:H,LinkedIn_Posts!A:A,$A145,LinkedIn_Posts!B:B,$B145))</f>
        <v/>
      </c>
      <c r="U145" s="7" t="str">
        <f>IF($A145="","",SUMIFS(LinkedIn_Posts!I:I,LinkedIn_Posts!A:A,$A145,LinkedIn_Posts!B:B,$B145))</f>
        <v/>
      </c>
    </row>
    <row r="146">
      <c r="A146" s="7" t="s">
        <v>47</v>
      </c>
      <c r="B146" s="7" t="s">
        <v>47</v>
      </c>
      <c r="C146" s="7" t="s">
        <v>47</v>
      </c>
      <c r="D146" s="7" t="str">
        <f>IF($A146="","",SUMIFS(YouTube_Long!G:G,YouTube_Long!A:A,$A146,YouTube_Long!B:B,$B146))</f>
        <v/>
      </c>
      <c r="E146" s="7" t="str">
        <f>IF($A146="","",SUMIFS(YouTube_Long!H:H,YouTube_Long!A:A,$A146,YouTube_Long!B:B,$B146))</f>
        <v/>
      </c>
      <c r="F146" s="7" t="str">
        <f>IF($A146="","",SUMIFS(YouTube_Long!I:I,YouTube_Long!A:A,$A146,YouTube_Long!B:B,$B146))</f>
        <v/>
      </c>
      <c r="G146" s="7" t="str">
        <f>IF($A146="","",COUNTIFS(YouTube_Shorts!A:A,$A146,YouTube_Shorts!B:B,$B146))</f>
        <v/>
      </c>
      <c r="H146" s="7" t="str">
        <f>IF($A146="","",SUMIFS(YouTube_Shorts!F:F,YouTube_Shorts!A:A,$A146,YouTube_Shorts!B:B,$B146))</f>
        <v/>
      </c>
      <c r="I146" s="7" t="str">
        <f>IF($A146="","",SUMIFS(YouTube_Shorts!G:G,YouTube_Shorts!A:A,$A146,YouTube_Shorts!B:B,$B146))</f>
        <v/>
      </c>
      <c r="J146" s="7" t="str">
        <f t="shared" si="1"/>
        <v/>
      </c>
      <c r="K146" s="7" t="str">
        <f>IF($A146="","",SUMIFS(Audio!D:D,Audio!A:A,$A146,Audio!B:B,$B146))</f>
        <v/>
      </c>
      <c r="L146" s="7" t="str">
        <f>IF($A146="","",COUNTIFS(TikTok_Posts!A:A,$A146,TikTok_Posts!B:B,$B146))</f>
        <v/>
      </c>
      <c r="M146" s="7" t="str">
        <f>IF($A146="","",SUMIFS(TikTok_Posts!E:E,TikTok_Posts!A:A,$A146,TikTok_Posts!B:B,$B146))</f>
        <v/>
      </c>
      <c r="N146" s="7" t="str">
        <f>IF($A146="","",COUNTIFS(Instagram_Posts!A:A,$A146,Instagram_Posts!B:B,$B146))</f>
        <v/>
      </c>
      <c r="O146" s="7" t="str">
        <f>IF($A146="","",SUMIFS(Instagram_Posts!E:E,Instagram_Posts!A:A,$A146,Instagram_Posts!B:B,$B146))</f>
        <v/>
      </c>
      <c r="P146" s="7" t="str">
        <f>IF($A146="","",SUMIFS(Blog!E:E,Blog!B:B,$A146,Blog!C:C,$B146))</f>
        <v/>
      </c>
      <c r="Q146" s="7" t="str">
        <f>IF($A146="","",COUNTIFS(LinkedIn_Posts!A:A,$A146,LinkedIn_Posts!B:B,$B146))</f>
        <v/>
      </c>
      <c r="R146" s="7" t="str">
        <f>IF($A146="","",SUMIFS(LinkedIn_Posts!F:F,LinkedIn_Posts!A:A,$A146,LinkedIn_Posts!B:B,$B146))</f>
        <v/>
      </c>
      <c r="S146" s="7" t="str">
        <f>IF($A146="","",SUMIFS(LinkedIn_Posts!G:G,LinkedIn_Posts!A:A,$A146,LinkedIn_Posts!B:B,$B146))</f>
        <v/>
      </c>
      <c r="T146" s="7" t="str">
        <f>IF($A146="","",SUMIFS(LinkedIn_Posts!H:H,LinkedIn_Posts!A:A,$A146,LinkedIn_Posts!B:B,$B146))</f>
        <v/>
      </c>
      <c r="U146" s="7" t="str">
        <f>IF($A146="","",SUMIFS(LinkedIn_Posts!I:I,LinkedIn_Posts!A:A,$A146,LinkedIn_Posts!B:B,$B146))</f>
        <v/>
      </c>
    </row>
    <row r="147">
      <c r="A147" s="7" t="s">
        <v>47</v>
      </c>
      <c r="B147" s="7" t="s">
        <v>47</v>
      </c>
      <c r="C147" s="7" t="s">
        <v>47</v>
      </c>
      <c r="D147" s="7" t="str">
        <f>IF($A147="","",SUMIFS(YouTube_Long!G:G,YouTube_Long!A:A,$A147,YouTube_Long!B:B,$B147))</f>
        <v/>
      </c>
      <c r="E147" s="7" t="str">
        <f>IF($A147="","",SUMIFS(YouTube_Long!H:H,YouTube_Long!A:A,$A147,YouTube_Long!B:B,$B147))</f>
        <v/>
      </c>
      <c r="F147" s="7" t="str">
        <f>IF($A147="","",SUMIFS(YouTube_Long!I:I,YouTube_Long!A:A,$A147,YouTube_Long!B:B,$B147))</f>
        <v/>
      </c>
      <c r="G147" s="7" t="str">
        <f>IF($A147="","",COUNTIFS(YouTube_Shorts!A:A,$A147,YouTube_Shorts!B:B,$B147))</f>
        <v/>
      </c>
      <c r="H147" s="7" t="str">
        <f>IF($A147="","",SUMIFS(YouTube_Shorts!F:F,YouTube_Shorts!A:A,$A147,YouTube_Shorts!B:B,$B147))</f>
        <v/>
      </c>
      <c r="I147" s="7" t="str">
        <f>IF($A147="","",SUMIFS(YouTube_Shorts!G:G,YouTube_Shorts!A:A,$A147,YouTube_Shorts!B:B,$B147))</f>
        <v/>
      </c>
      <c r="J147" s="7" t="str">
        <f t="shared" si="1"/>
        <v/>
      </c>
      <c r="K147" s="7" t="str">
        <f>IF($A147="","",SUMIFS(Audio!D:D,Audio!A:A,$A147,Audio!B:B,$B147))</f>
        <v/>
      </c>
      <c r="L147" s="7" t="str">
        <f>IF($A147="","",COUNTIFS(TikTok_Posts!A:A,$A147,TikTok_Posts!B:B,$B147))</f>
        <v/>
      </c>
      <c r="M147" s="7" t="str">
        <f>IF($A147="","",SUMIFS(TikTok_Posts!E:E,TikTok_Posts!A:A,$A147,TikTok_Posts!B:B,$B147))</f>
        <v/>
      </c>
      <c r="N147" s="7" t="str">
        <f>IF($A147="","",COUNTIFS(Instagram_Posts!A:A,$A147,Instagram_Posts!B:B,$B147))</f>
        <v/>
      </c>
      <c r="O147" s="7" t="str">
        <f>IF($A147="","",SUMIFS(Instagram_Posts!E:E,Instagram_Posts!A:A,$A147,Instagram_Posts!B:B,$B147))</f>
        <v/>
      </c>
      <c r="P147" s="7" t="str">
        <f>IF($A147="","",SUMIFS(Blog!E:E,Blog!B:B,$A147,Blog!C:C,$B147))</f>
        <v/>
      </c>
      <c r="Q147" s="7" t="str">
        <f>IF($A147="","",COUNTIFS(LinkedIn_Posts!A:A,$A147,LinkedIn_Posts!B:B,$B147))</f>
        <v/>
      </c>
      <c r="R147" s="7" t="str">
        <f>IF($A147="","",SUMIFS(LinkedIn_Posts!F:F,LinkedIn_Posts!A:A,$A147,LinkedIn_Posts!B:B,$B147))</f>
        <v/>
      </c>
      <c r="S147" s="7" t="str">
        <f>IF($A147="","",SUMIFS(LinkedIn_Posts!G:G,LinkedIn_Posts!A:A,$A147,LinkedIn_Posts!B:B,$B147))</f>
        <v/>
      </c>
      <c r="T147" s="7" t="str">
        <f>IF($A147="","",SUMIFS(LinkedIn_Posts!H:H,LinkedIn_Posts!A:A,$A147,LinkedIn_Posts!B:B,$B147))</f>
        <v/>
      </c>
      <c r="U147" s="7" t="str">
        <f>IF($A147="","",SUMIFS(LinkedIn_Posts!I:I,LinkedIn_Posts!A:A,$A147,LinkedIn_Posts!B:B,$B147))</f>
        <v/>
      </c>
    </row>
    <row r="148">
      <c r="A148" s="7" t="s">
        <v>47</v>
      </c>
      <c r="B148" s="7" t="s">
        <v>47</v>
      </c>
      <c r="C148" s="7" t="s">
        <v>47</v>
      </c>
      <c r="D148" s="7" t="str">
        <f>IF($A148="","",SUMIFS(YouTube_Long!G:G,YouTube_Long!A:A,$A148,YouTube_Long!B:B,$B148))</f>
        <v/>
      </c>
      <c r="E148" s="7" t="str">
        <f>IF($A148="","",SUMIFS(YouTube_Long!H:H,YouTube_Long!A:A,$A148,YouTube_Long!B:B,$B148))</f>
        <v/>
      </c>
      <c r="F148" s="7" t="str">
        <f>IF($A148="","",SUMIFS(YouTube_Long!I:I,YouTube_Long!A:A,$A148,YouTube_Long!B:B,$B148))</f>
        <v/>
      </c>
      <c r="G148" s="7" t="str">
        <f>IF($A148="","",COUNTIFS(YouTube_Shorts!A:A,$A148,YouTube_Shorts!B:B,$B148))</f>
        <v/>
      </c>
      <c r="H148" s="7" t="str">
        <f>IF($A148="","",SUMIFS(YouTube_Shorts!F:F,YouTube_Shorts!A:A,$A148,YouTube_Shorts!B:B,$B148))</f>
        <v/>
      </c>
      <c r="I148" s="7" t="str">
        <f>IF($A148="","",SUMIFS(YouTube_Shorts!G:G,YouTube_Shorts!A:A,$A148,YouTube_Shorts!B:B,$B148))</f>
        <v/>
      </c>
      <c r="J148" s="7" t="str">
        <f t="shared" si="1"/>
        <v/>
      </c>
      <c r="K148" s="7" t="str">
        <f>IF($A148="","",SUMIFS(Audio!D:D,Audio!A:A,$A148,Audio!B:B,$B148))</f>
        <v/>
      </c>
      <c r="L148" s="7" t="str">
        <f>IF($A148="","",COUNTIFS(TikTok_Posts!A:A,$A148,TikTok_Posts!B:B,$B148))</f>
        <v/>
      </c>
      <c r="M148" s="7" t="str">
        <f>IF($A148="","",SUMIFS(TikTok_Posts!E:E,TikTok_Posts!A:A,$A148,TikTok_Posts!B:B,$B148))</f>
        <v/>
      </c>
      <c r="N148" s="7" t="str">
        <f>IF($A148="","",COUNTIFS(Instagram_Posts!A:A,$A148,Instagram_Posts!B:B,$B148))</f>
        <v/>
      </c>
      <c r="O148" s="7" t="str">
        <f>IF($A148="","",SUMIFS(Instagram_Posts!E:E,Instagram_Posts!A:A,$A148,Instagram_Posts!B:B,$B148))</f>
        <v/>
      </c>
      <c r="P148" s="7" t="str">
        <f>IF($A148="","",SUMIFS(Blog!E:E,Blog!B:B,$A148,Blog!C:C,$B148))</f>
        <v/>
      </c>
      <c r="Q148" s="7" t="str">
        <f>IF($A148="","",COUNTIFS(LinkedIn_Posts!A:A,$A148,LinkedIn_Posts!B:B,$B148))</f>
        <v/>
      </c>
      <c r="R148" s="7" t="str">
        <f>IF($A148="","",SUMIFS(LinkedIn_Posts!F:F,LinkedIn_Posts!A:A,$A148,LinkedIn_Posts!B:B,$B148))</f>
        <v/>
      </c>
      <c r="S148" s="7" t="str">
        <f>IF($A148="","",SUMIFS(LinkedIn_Posts!G:G,LinkedIn_Posts!A:A,$A148,LinkedIn_Posts!B:B,$B148))</f>
        <v/>
      </c>
      <c r="T148" s="7" t="str">
        <f>IF($A148="","",SUMIFS(LinkedIn_Posts!H:H,LinkedIn_Posts!A:A,$A148,LinkedIn_Posts!B:B,$B148))</f>
        <v/>
      </c>
      <c r="U148" s="7" t="str">
        <f>IF($A148="","",SUMIFS(LinkedIn_Posts!I:I,LinkedIn_Posts!A:A,$A148,LinkedIn_Posts!B:B,$B148))</f>
        <v/>
      </c>
    </row>
    <row r="149">
      <c r="A149" s="7" t="s">
        <v>47</v>
      </c>
      <c r="B149" s="7" t="s">
        <v>47</v>
      </c>
      <c r="C149" s="7" t="s">
        <v>47</v>
      </c>
      <c r="D149" s="7" t="str">
        <f>IF($A149="","",SUMIFS(YouTube_Long!G:G,YouTube_Long!A:A,$A149,YouTube_Long!B:B,$B149))</f>
        <v/>
      </c>
      <c r="E149" s="7" t="str">
        <f>IF($A149="","",SUMIFS(YouTube_Long!H:H,YouTube_Long!A:A,$A149,YouTube_Long!B:B,$B149))</f>
        <v/>
      </c>
      <c r="F149" s="7" t="str">
        <f>IF($A149="","",SUMIFS(YouTube_Long!I:I,YouTube_Long!A:A,$A149,YouTube_Long!B:B,$B149))</f>
        <v/>
      </c>
      <c r="G149" s="7" t="str">
        <f>IF($A149="","",COUNTIFS(YouTube_Shorts!A:A,$A149,YouTube_Shorts!B:B,$B149))</f>
        <v/>
      </c>
      <c r="H149" s="7" t="str">
        <f>IF($A149="","",SUMIFS(YouTube_Shorts!F:F,YouTube_Shorts!A:A,$A149,YouTube_Shorts!B:B,$B149))</f>
        <v/>
      </c>
      <c r="I149" s="7" t="str">
        <f>IF($A149="","",SUMIFS(YouTube_Shorts!G:G,YouTube_Shorts!A:A,$A149,YouTube_Shorts!B:B,$B149))</f>
        <v/>
      </c>
      <c r="J149" s="7" t="str">
        <f t="shared" si="1"/>
        <v/>
      </c>
      <c r="K149" s="7" t="str">
        <f>IF($A149="","",SUMIFS(Audio!D:D,Audio!A:A,$A149,Audio!B:B,$B149))</f>
        <v/>
      </c>
      <c r="L149" s="7" t="str">
        <f>IF($A149="","",COUNTIFS(TikTok_Posts!A:A,$A149,TikTok_Posts!B:B,$B149))</f>
        <v/>
      </c>
      <c r="M149" s="7" t="str">
        <f>IF($A149="","",SUMIFS(TikTok_Posts!E:E,TikTok_Posts!A:A,$A149,TikTok_Posts!B:B,$B149))</f>
        <v/>
      </c>
      <c r="N149" s="7" t="str">
        <f>IF($A149="","",COUNTIFS(Instagram_Posts!A:A,$A149,Instagram_Posts!B:B,$B149))</f>
        <v/>
      </c>
      <c r="O149" s="7" t="str">
        <f>IF($A149="","",SUMIFS(Instagram_Posts!E:E,Instagram_Posts!A:A,$A149,Instagram_Posts!B:B,$B149))</f>
        <v/>
      </c>
      <c r="P149" s="7" t="str">
        <f>IF($A149="","",SUMIFS(Blog!E:E,Blog!B:B,$A149,Blog!C:C,$B149))</f>
        <v/>
      </c>
      <c r="Q149" s="7" t="str">
        <f>IF($A149="","",COUNTIFS(LinkedIn_Posts!A:A,$A149,LinkedIn_Posts!B:B,$B149))</f>
        <v/>
      </c>
      <c r="R149" s="7" t="str">
        <f>IF($A149="","",SUMIFS(LinkedIn_Posts!F:F,LinkedIn_Posts!A:A,$A149,LinkedIn_Posts!B:B,$B149))</f>
        <v/>
      </c>
      <c r="S149" s="7" t="str">
        <f>IF($A149="","",SUMIFS(LinkedIn_Posts!G:G,LinkedIn_Posts!A:A,$A149,LinkedIn_Posts!B:B,$B149))</f>
        <v/>
      </c>
      <c r="T149" s="7" t="str">
        <f>IF($A149="","",SUMIFS(LinkedIn_Posts!H:H,LinkedIn_Posts!A:A,$A149,LinkedIn_Posts!B:B,$B149))</f>
        <v/>
      </c>
      <c r="U149" s="7" t="str">
        <f>IF($A149="","",SUMIFS(LinkedIn_Posts!I:I,LinkedIn_Posts!A:A,$A149,LinkedIn_Posts!B:B,$B149))</f>
        <v/>
      </c>
    </row>
    <row r="150">
      <c r="A150" s="7" t="s">
        <v>47</v>
      </c>
      <c r="B150" s="7" t="s">
        <v>47</v>
      </c>
      <c r="C150" s="7" t="s">
        <v>47</v>
      </c>
      <c r="D150" s="7" t="str">
        <f>IF($A150="","",SUMIFS(YouTube_Long!G:G,YouTube_Long!A:A,$A150,YouTube_Long!B:B,$B150))</f>
        <v/>
      </c>
      <c r="E150" s="7" t="str">
        <f>IF($A150="","",SUMIFS(YouTube_Long!H:H,YouTube_Long!A:A,$A150,YouTube_Long!B:B,$B150))</f>
        <v/>
      </c>
      <c r="F150" s="7" t="str">
        <f>IF($A150="","",SUMIFS(YouTube_Long!I:I,YouTube_Long!A:A,$A150,YouTube_Long!B:B,$B150))</f>
        <v/>
      </c>
      <c r="G150" s="7" t="str">
        <f>IF($A150="","",COUNTIFS(YouTube_Shorts!A:A,$A150,YouTube_Shorts!B:B,$B150))</f>
        <v/>
      </c>
      <c r="H150" s="7" t="str">
        <f>IF($A150="","",SUMIFS(YouTube_Shorts!F:F,YouTube_Shorts!A:A,$A150,YouTube_Shorts!B:B,$B150))</f>
        <v/>
      </c>
      <c r="I150" s="7" t="str">
        <f>IF($A150="","",SUMIFS(YouTube_Shorts!G:G,YouTube_Shorts!A:A,$A150,YouTube_Shorts!B:B,$B150))</f>
        <v/>
      </c>
      <c r="J150" s="7" t="str">
        <f t="shared" si="1"/>
        <v/>
      </c>
      <c r="K150" s="7" t="str">
        <f>IF($A150="","",SUMIFS(Audio!D:D,Audio!A:A,$A150,Audio!B:B,$B150))</f>
        <v/>
      </c>
      <c r="L150" s="7" t="str">
        <f>IF($A150="","",COUNTIFS(TikTok_Posts!A:A,$A150,TikTok_Posts!B:B,$B150))</f>
        <v/>
      </c>
      <c r="M150" s="7" t="str">
        <f>IF($A150="","",SUMIFS(TikTok_Posts!E:E,TikTok_Posts!A:A,$A150,TikTok_Posts!B:B,$B150))</f>
        <v/>
      </c>
      <c r="N150" s="7" t="str">
        <f>IF($A150="","",COUNTIFS(Instagram_Posts!A:A,$A150,Instagram_Posts!B:B,$B150))</f>
        <v/>
      </c>
      <c r="O150" s="7" t="str">
        <f>IF($A150="","",SUMIFS(Instagram_Posts!E:E,Instagram_Posts!A:A,$A150,Instagram_Posts!B:B,$B150))</f>
        <v/>
      </c>
      <c r="P150" s="7" t="str">
        <f>IF($A150="","",SUMIFS(Blog!E:E,Blog!B:B,$A150,Blog!C:C,$B150))</f>
        <v/>
      </c>
      <c r="Q150" s="7" t="str">
        <f>IF($A150="","",COUNTIFS(LinkedIn_Posts!A:A,$A150,LinkedIn_Posts!B:B,$B150))</f>
        <v/>
      </c>
      <c r="R150" s="7" t="str">
        <f>IF($A150="","",SUMIFS(LinkedIn_Posts!F:F,LinkedIn_Posts!A:A,$A150,LinkedIn_Posts!B:B,$B150))</f>
        <v/>
      </c>
      <c r="S150" s="7" t="str">
        <f>IF($A150="","",SUMIFS(LinkedIn_Posts!G:G,LinkedIn_Posts!A:A,$A150,LinkedIn_Posts!B:B,$B150))</f>
        <v/>
      </c>
      <c r="T150" s="7" t="str">
        <f>IF($A150="","",SUMIFS(LinkedIn_Posts!H:H,LinkedIn_Posts!A:A,$A150,LinkedIn_Posts!B:B,$B150))</f>
        <v/>
      </c>
      <c r="U150" s="7" t="str">
        <f>IF($A150="","",SUMIFS(LinkedIn_Posts!I:I,LinkedIn_Posts!A:A,$A150,LinkedIn_Posts!B:B,$B150))</f>
        <v/>
      </c>
    </row>
    <row r="151">
      <c r="A151" s="7" t="s">
        <v>47</v>
      </c>
      <c r="B151" s="7" t="s">
        <v>47</v>
      </c>
      <c r="C151" s="7" t="s">
        <v>47</v>
      </c>
      <c r="D151" s="7" t="str">
        <f>IF($A151="","",SUMIFS(YouTube_Long!G:G,YouTube_Long!A:A,$A151,YouTube_Long!B:B,$B151))</f>
        <v/>
      </c>
      <c r="E151" s="7" t="str">
        <f>IF($A151="","",SUMIFS(YouTube_Long!H:H,YouTube_Long!A:A,$A151,YouTube_Long!B:B,$B151))</f>
        <v/>
      </c>
      <c r="F151" s="7" t="str">
        <f>IF($A151="","",SUMIFS(YouTube_Long!I:I,YouTube_Long!A:A,$A151,YouTube_Long!B:B,$B151))</f>
        <v/>
      </c>
      <c r="G151" s="7" t="str">
        <f>IF($A151="","",COUNTIFS(YouTube_Shorts!A:A,$A151,YouTube_Shorts!B:B,$B151))</f>
        <v/>
      </c>
      <c r="H151" s="7" t="str">
        <f>IF($A151="","",SUMIFS(YouTube_Shorts!F:F,YouTube_Shorts!A:A,$A151,YouTube_Shorts!B:B,$B151))</f>
        <v/>
      </c>
      <c r="I151" s="7" t="str">
        <f>IF($A151="","",SUMIFS(YouTube_Shorts!G:G,YouTube_Shorts!A:A,$A151,YouTube_Shorts!B:B,$B151))</f>
        <v/>
      </c>
      <c r="J151" s="7" t="str">
        <f t="shared" si="1"/>
        <v/>
      </c>
      <c r="K151" s="7" t="str">
        <f>IF($A151="","",SUMIFS(Audio!D:D,Audio!A:A,$A151,Audio!B:B,$B151))</f>
        <v/>
      </c>
      <c r="L151" s="7" t="str">
        <f>IF($A151="","",COUNTIFS(TikTok_Posts!A:A,$A151,TikTok_Posts!B:B,$B151))</f>
        <v/>
      </c>
      <c r="M151" s="7" t="str">
        <f>IF($A151="","",SUMIFS(TikTok_Posts!E:E,TikTok_Posts!A:A,$A151,TikTok_Posts!B:B,$B151))</f>
        <v/>
      </c>
      <c r="N151" s="7" t="str">
        <f>IF($A151="","",COUNTIFS(Instagram_Posts!A:A,$A151,Instagram_Posts!B:B,$B151))</f>
        <v/>
      </c>
      <c r="O151" s="7" t="str">
        <f>IF($A151="","",SUMIFS(Instagram_Posts!E:E,Instagram_Posts!A:A,$A151,Instagram_Posts!B:B,$B151))</f>
        <v/>
      </c>
      <c r="P151" s="7" t="str">
        <f>IF($A151="","",SUMIFS(Blog!E:E,Blog!B:B,$A151,Blog!C:C,$B151))</f>
        <v/>
      </c>
      <c r="Q151" s="7" t="str">
        <f>IF($A151="","",COUNTIFS(LinkedIn_Posts!A:A,$A151,LinkedIn_Posts!B:B,$B151))</f>
        <v/>
      </c>
      <c r="R151" s="7" t="str">
        <f>IF($A151="","",SUMIFS(LinkedIn_Posts!F:F,LinkedIn_Posts!A:A,$A151,LinkedIn_Posts!B:B,$B151))</f>
        <v/>
      </c>
      <c r="S151" s="7" t="str">
        <f>IF($A151="","",SUMIFS(LinkedIn_Posts!G:G,LinkedIn_Posts!A:A,$A151,LinkedIn_Posts!B:B,$B151))</f>
        <v/>
      </c>
      <c r="T151" s="7" t="str">
        <f>IF($A151="","",SUMIFS(LinkedIn_Posts!H:H,LinkedIn_Posts!A:A,$A151,LinkedIn_Posts!B:B,$B151))</f>
        <v/>
      </c>
      <c r="U151" s="7" t="str">
        <f>IF($A151="","",SUMIFS(LinkedIn_Posts!I:I,LinkedIn_Posts!A:A,$A151,LinkedIn_Posts!B:B,$B151))</f>
        <v/>
      </c>
    </row>
    <row r="152">
      <c r="A152" s="7" t="s">
        <v>47</v>
      </c>
      <c r="B152" s="7" t="s">
        <v>47</v>
      </c>
      <c r="C152" s="7" t="s">
        <v>47</v>
      </c>
      <c r="D152" s="7" t="str">
        <f>IF($A152="","",SUMIFS(YouTube_Long!G:G,YouTube_Long!A:A,$A152,YouTube_Long!B:B,$B152))</f>
        <v/>
      </c>
      <c r="E152" s="7" t="str">
        <f>IF($A152="","",SUMIFS(YouTube_Long!H:H,YouTube_Long!A:A,$A152,YouTube_Long!B:B,$B152))</f>
        <v/>
      </c>
      <c r="F152" s="7" t="str">
        <f>IF($A152="","",SUMIFS(YouTube_Long!I:I,YouTube_Long!A:A,$A152,YouTube_Long!B:B,$B152))</f>
        <v/>
      </c>
      <c r="G152" s="7" t="str">
        <f>IF($A152="","",COUNTIFS(YouTube_Shorts!A:A,$A152,YouTube_Shorts!B:B,$B152))</f>
        <v/>
      </c>
      <c r="H152" s="7" t="str">
        <f>IF($A152="","",SUMIFS(YouTube_Shorts!F:F,YouTube_Shorts!A:A,$A152,YouTube_Shorts!B:B,$B152))</f>
        <v/>
      </c>
      <c r="I152" s="7" t="str">
        <f>IF($A152="","",SUMIFS(YouTube_Shorts!G:G,YouTube_Shorts!A:A,$A152,YouTube_Shorts!B:B,$B152))</f>
        <v/>
      </c>
      <c r="J152" s="7" t="str">
        <f t="shared" si="1"/>
        <v/>
      </c>
      <c r="K152" s="7" t="str">
        <f>IF($A152="","",SUMIFS(Audio!D:D,Audio!A:A,$A152,Audio!B:B,$B152))</f>
        <v/>
      </c>
      <c r="L152" s="7" t="str">
        <f>IF($A152="","",COUNTIFS(TikTok_Posts!A:A,$A152,TikTok_Posts!B:B,$B152))</f>
        <v/>
      </c>
      <c r="M152" s="7" t="str">
        <f>IF($A152="","",SUMIFS(TikTok_Posts!E:E,TikTok_Posts!A:A,$A152,TikTok_Posts!B:B,$B152))</f>
        <v/>
      </c>
      <c r="N152" s="7" t="str">
        <f>IF($A152="","",COUNTIFS(Instagram_Posts!A:A,$A152,Instagram_Posts!B:B,$B152))</f>
        <v/>
      </c>
      <c r="O152" s="7" t="str">
        <f>IF($A152="","",SUMIFS(Instagram_Posts!E:E,Instagram_Posts!A:A,$A152,Instagram_Posts!B:B,$B152))</f>
        <v/>
      </c>
      <c r="P152" s="7" t="str">
        <f>IF($A152="","",SUMIFS(Blog!E:E,Blog!B:B,$A152,Blog!C:C,$B152))</f>
        <v/>
      </c>
      <c r="Q152" s="7" t="str">
        <f>IF($A152="","",COUNTIFS(LinkedIn_Posts!A:A,$A152,LinkedIn_Posts!B:B,$B152))</f>
        <v/>
      </c>
      <c r="R152" s="7" t="str">
        <f>IF($A152="","",SUMIFS(LinkedIn_Posts!F:F,LinkedIn_Posts!A:A,$A152,LinkedIn_Posts!B:B,$B152))</f>
        <v/>
      </c>
      <c r="S152" s="7" t="str">
        <f>IF($A152="","",SUMIFS(LinkedIn_Posts!G:G,LinkedIn_Posts!A:A,$A152,LinkedIn_Posts!B:B,$B152))</f>
        <v/>
      </c>
      <c r="T152" s="7" t="str">
        <f>IF($A152="","",SUMIFS(LinkedIn_Posts!H:H,LinkedIn_Posts!A:A,$A152,LinkedIn_Posts!B:B,$B152))</f>
        <v/>
      </c>
      <c r="U152" s="7" t="str">
        <f>IF($A152="","",SUMIFS(LinkedIn_Posts!I:I,LinkedIn_Posts!A:A,$A152,LinkedIn_Posts!B:B,$B152))</f>
        <v/>
      </c>
    </row>
    <row r="153">
      <c r="A153" s="7" t="s">
        <v>47</v>
      </c>
      <c r="B153" s="7" t="s">
        <v>47</v>
      </c>
      <c r="C153" s="7" t="s">
        <v>47</v>
      </c>
      <c r="D153" s="7" t="str">
        <f>IF($A153="","",SUMIFS(YouTube_Long!G:G,YouTube_Long!A:A,$A153,YouTube_Long!B:B,$B153))</f>
        <v/>
      </c>
      <c r="E153" s="7" t="str">
        <f>IF($A153="","",SUMIFS(YouTube_Long!H:H,YouTube_Long!A:A,$A153,YouTube_Long!B:B,$B153))</f>
        <v/>
      </c>
      <c r="F153" s="7" t="str">
        <f>IF($A153="","",SUMIFS(YouTube_Long!I:I,YouTube_Long!A:A,$A153,YouTube_Long!B:B,$B153))</f>
        <v/>
      </c>
      <c r="G153" s="7" t="str">
        <f>IF($A153="","",COUNTIFS(YouTube_Shorts!A:A,$A153,YouTube_Shorts!B:B,$B153))</f>
        <v/>
      </c>
      <c r="H153" s="7" t="str">
        <f>IF($A153="","",SUMIFS(YouTube_Shorts!F:F,YouTube_Shorts!A:A,$A153,YouTube_Shorts!B:B,$B153))</f>
        <v/>
      </c>
      <c r="I153" s="7" t="str">
        <f>IF($A153="","",SUMIFS(YouTube_Shorts!G:G,YouTube_Shorts!A:A,$A153,YouTube_Shorts!B:B,$B153))</f>
        <v/>
      </c>
      <c r="J153" s="7" t="str">
        <f t="shared" si="1"/>
        <v/>
      </c>
      <c r="K153" s="7" t="str">
        <f>IF($A153="","",SUMIFS(Audio!D:D,Audio!A:A,$A153,Audio!B:B,$B153))</f>
        <v/>
      </c>
      <c r="L153" s="7" t="str">
        <f>IF($A153="","",COUNTIFS(TikTok_Posts!A:A,$A153,TikTok_Posts!B:B,$B153))</f>
        <v/>
      </c>
      <c r="M153" s="7" t="str">
        <f>IF($A153="","",SUMIFS(TikTok_Posts!E:E,TikTok_Posts!A:A,$A153,TikTok_Posts!B:B,$B153))</f>
        <v/>
      </c>
      <c r="N153" s="7" t="str">
        <f>IF($A153="","",COUNTIFS(Instagram_Posts!A:A,$A153,Instagram_Posts!B:B,$B153))</f>
        <v/>
      </c>
      <c r="O153" s="7" t="str">
        <f>IF($A153="","",SUMIFS(Instagram_Posts!E:E,Instagram_Posts!A:A,$A153,Instagram_Posts!B:B,$B153))</f>
        <v/>
      </c>
      <c r="P153" s="7" t="str">
        <f>IF($A153="","",SUMIFS(Blog!E:E,Blog!B:B,$A153,Blog!C:C,$B153))</f>
        <v/>
      </c>
      <c r="Q153" s="7" t="str">
        <f>IF($A153="","",COUNTIFS(LinkedIn_Posts!A:A,$A153,LinkedIn_Posts!B:B,$B153))</f>
        <v/>
      </c>
      <c r="R153" s="7" t="str">
        <f>IF($A153="","",SUMIFS(LinkedIn_Posts!F:F,LinkedIn_Posts!A:A,$A153,LinkedIn_Posts!B:B,$B153))</f>
        <v/>
      </c>
      <c r="S153" s="7" t="str">
        <f>IF($A153="","",SUMIFS(LinkedIn_Posts!G:G,LinkedIn_Posts!A:A,$A153,LinkedIn_Posts!B:B,$B153))</f>
        <v/>
      </c>
      <c r="T153" s="7" t="str">
        <f>IF($A153="","",SUMIFS(LinkedIn_Posts!H:H,LinkedIn_Posts!A:A,$A153,LinkedIn_Posts!B:B,$B153))</f>
        <v/>
      </c>
      <c r="U153" s="7" t="str">
        <f>IF($A153="","",SUMIFS(LinkedIn_Posts!I:I,LinkedIn_Posts!A:A,$A153,LinkedIn_Posts!B:B,$B153))</f>
        <v/>
      </c>
    </row>
    <row r="154">
      <c r="A154" s="7" t="s">
        <v>47</v>
      </c>
      <c r="B154" s="7" t="s">
        <v>47</v>
      </c>
      <c r="C154" s="7" t="s">
        <v>47</v>
      </c>
      <c r="D154" s="7" t="str">
        <f>IF($A154="","",SUMIFS(YouTube_Long!G:G,YouTube_Long!A:A,$A154,YouTube_Long!B:B,$B154))</f>
        <v/>
      </c>
      <c r="E154" s="7" t="str">
        <f>IF($A154="","",SUMIFS(YouTube_Long!H:H,YouTube_Long!A:A,$A154,YouTube_Long!B:B,$B154))</f>
        <v/>
      </c>
      <c r="F154" s="7" t="str">
        <f>IF($A154="","",SUMIFS(YouTube_Long!I:I,YouTube_Long!A:A,$A154,YouTube_Long!B:B,$B154))</f>
        <v/>
      </c>
      <c r="G154" s="7" t="str">
        <f>IF($A154="","",COUNTIFS(YouTube_Shorts!A:A,$A154,YouTube_Shorts!B:B,$B154))</f>
        <v/>
      </c>
      <c r="H154" s="7" t="str">
        <f>IF($A154="","",SUMIFS(YouTube_Shorts!F:F,YouTube_Shorts!A:A,$A154,YouTube_Shorts!B:B,$B154))</f>
        <v/>
      </c>
      <c r="I154" s="7" t="str">
        <f>IF($A154="","",SUMIFS(YouTube_Shorts!G:G,YouTube_Shorts!A:A,$A154,YouTube_Shorts!B:B,$B154))</f>
        <v/>
      </c>
      <c r="J154" s="7" t="str">
        <f t="shared" si="1"/>
        <v/>
      </c>
      <c r="K154" s="7" t="str">
        <f>IF($A154="","",SUMIFS(Audio!D:D,Audio!A:A,$A154,Audio!B:B,$B154))</f>
        <v/>
      </c>
      <c r="L154" s="7" t="str">
        <f>IF($A154="","",COUNTIFS(TikTok_Posts!A:A,$A154,TikTok_Posts!B:B,$B154))</f>
        <v/>
      </c>
      <c r="M154" s="7" t="str">
        <f>IF($A154="","",SUMIFS(TikTok_Posts!E:E,TikTok_Posts!A:A,$A154,TikTok_Posts!B:B,$B154))</f>
        <v/>
      </c>
      <c r="N154" s="7" t="str">
        <f>IF($A154="","",COUNTIFS(Instagram_Posts!A:A,$A154,Instagram_Posts!B:B,$B154))</f>
        <v/>
      </c>
      <c r="O154" s="7" t="str">
        <f>IF($A154="","",SUMIFS(Instagram_Posts!E:E,Instagram_Posts!A:A,$A154,Instagram_Posts!B:B,$B154))</f>
        <v/>
      </c>
      <c r="P154" s="7" t="str">
        <f>IF($A154="","",SUMIFS(Blog!E:E,Blog!B:B,$A154,Blog!C:C,$B154))</f>
        <v/>
      </c>
      <c r="Q154" s="7" t="str">
        <f>IF($A154="","",COUNTIFS(LinkedIn_Posts!A:A,$A154,LinkedIn_Posts!B:B,$B154))</f>
        <v/>
      </c>
      <c r="R154" s="7" t="str">
        <f>IF($A154="","",SUMIFS(LinkedIn_Posts!F:F,LinkedIn_Posts!A:A,$A154,LinkedIn_Posts!B:B,$B154))</f>
        <v/>
      </c>
      <c r="S154" s="7" t="str">
        <f>IF($A154="","",SUMIFS(LinkedIn_Posts!G:G,LinkedIn_Posts!A:A,$A154,LinkedIn_Posts!B:B,$B154))</f>
        <v/>
      </c>
      <c r="T154" s="7" t="str">
        <f>IF($A154="","",SUMIFS(LinkedIn_Posts!H:H,LinkedIn_Posts!A:A,$A154,LinkedIn_Posts!B:B,$B154))</f>
        <v/>
      </c>
      <c r="U154" s="7" t="str">
        <f>IF($A154="","",SUMIFS(LinkedIn_Posts!I:I,LinkedIn_Posts!A:A,$A154,LinkedIn_Posts!B:B,$B154))</f>
        <v/>
      </c>
    </row>
    <row r="155">
      <c r="A155" s="7" t="s">
        <v>47</v>
      </c>
      <c r="B155" s="7" t="s">
        <v>47</v>
      </c>
      <c r="C155" s="7" t="s">
        <v>47</v>
      </c>
      <c r="D155" s="7" t="str">
        <f>IF($A155="","",SUMIFS(YouTube_Long!G:G,YouTube_Long!A:A,$A155,YouTube_Long!B:B,$B155))</f>
        <v/>
      </c>
      <c r="E155" s="7" t="str">
        <f>IF($A155="","",SUMIFS(YouTube_Long!H:H,YouTube_Long!A:A,$A155,YouTube_Long!B:B,$B155))</f>
        <v/>
      </c>
      <c r="F155" s="7" t="str">
        <f>IF($A155="","",SUMIFS(YouTube_Long!I:I,YouTube_Long!A:A,$A155,YouTube_Long!B:B,$B155))</f>
        <v/>
      </c>
      <c r="G155" s="7" t="str">
        <f>IF($A155="","",COUNTIFS(YouTube_Shorts!A:A,$A155,YouTube_Shorts!B:B,$B155))</f>
        <v/>
      </c>
      <c r="H155" s="7" t="str">
        <f>IF($A155="","",SUMIFS(YouTube_Shorts!F:F,YouTube_Shorts!A:A,$A155,YouTube_Shorts!B:B,$B155))</f>
        <v/>
      </c>
      <c r="I155" s="7" t="str">
        <f>IF($A155="","",SUMIFS(YouTube_Shorts!G:G,YouTube_Shorts!A:A,$A155,YouTube_Shorts!B:B,$B155))</f>
        <v/>
      </c>
      <c r="J155" s="7" t="str">
        <f t="shared" si="1"/>
        <v/>
      </c>
      <c r="K155" s="7" t="str">
        <f>IF($A155="","",SUMIFS(Audio!D:D,Audio!A:A,$A155,Audio!B:B,$B155))</f>
        <v/>
      </c>
      <c r="L155" s="7" t="str">
        <f>IF($A155="","",COUNTIFS(TikTok_Posts!A:A,$A155,TikTok_Posts!B:B,$B155))</f>
        <v/>
      </c>
      <c r="M155" s="7" t="str">
        <f>IF($A155="","",SUMIFS(TikTok_Posts!E:E,TikTok_Posts!A:A,$A155,TikTok_Posts!B:B,$B155))</f>
        <v/>
      </c>
      <c r="N155" s="7" t="str">
        <f>IF($A155="","",COUNTIFS(Instagram_Posts!A:A,$A155,Instagram_Posts!B:B,$B155))</f>
        <v/>
      </c>
      <c r="O155" s="7" t="str">
        <f>IF($A155="","",SUMIFS(Instagram_Posts!E:E,Instagram_Posts!A:A,$A155,Instagram_Posts!B:B,$B155))</f>
        <v/>
      </c>
      <c r="P155" s="7" t="str">
        <f>IF($A155="","",SUMIFS(Blog!E:E,Blog!B:B,$A155,Blog!C:C,$B155))</f>
        <v/>
      </c>
      <c r="Q155" s="7" t="str">
        <f>IF($A155="","",COUNTIFS(LinkedIn_Posts!A:A,$A155,LinkedIn_Posts!B:B,$B155))</f>
        <v/>
      </c>
      <c r="R155" s="7" t="str">
        <f>IF($A155="","",SUMIFS(LinkedIn_Posts!F:F,LinkedIn_Posts!A:A,$A155,LinkedIn_Posts!B:B,$B155))</f>
        <v/>
      </c>
      <c r="S155" s="7" t="str">
        <f>IF($A155="","",SUMIFS(LinkedIn_Posts!G:G,LinkedIn_Posts!A:A,$A155,LinkedIn_Posts!B:B,$B155))</f>
        <v/>
      </c>
      <c r="T155" s="7" t="str">
        <f>IF($A155="","",SUMIFS(LinkedIn_Posts!H:H,LinkedIn_Posts!A:A,$A155,LinkedIn_Posts!B:B,$B155))</f>
        <v/>
      </c>
      <c r="U155" s="7" t="str">
        <f>IF($A155="","",SUMIFS(LinkedIn_Posts!I:I,LinkedIn_Posts!A:A,$A155,LinkedIn_Posts!B:B,$B155))</f>
        <v/>
      </c>
    </row>
    <row r="156">
      <c r="A156" s="7" t="s">
        <v>47</v>
      </c>
      <c r="B156" s="7" t="s">
        <v>47</v>
      </c>
      <c r="C156" s="7" t="s">
        <v>47</v>
      </c>
      <c r="D156" s="7" t="str">
        <f>IF($A156="","",SUMIFS(YouTube_Long!G:G,YouTube_Long!A:A,$A156,YouTube_Long!B:B,$B156))</f>
        <v/>
      </c>
      <c r="E156" s="7" t="str">
        <f>IF($A156="","",SUMIFS(YouTube_Long!H:H,YouTube_Long!A:A,$A156,YouTube_Long!B:B,$B156))</f>
        <v/>
      </c>
      <c r="F156" s="7" t="str">
        <f>IF($A156="","",SUMIFS(YouTube_Long!I:I,YouTube_Long!A:A,$A156,YouTube_Long!B:B,$B156))</f>
        <v/>
      </c>
      <c r="G156" s="7" t="str">
        <f>IF($A156="","",COUNTIFS(YouTube_Shorts!A:A,$A156,YouTube_Shorts!B:B,$B156))</f>
        <v/>
      </c>
      <c r="H156" s="7" t="str">
        <f>IF($A156="","",SUMIFS(YouTube_Shorts!F:F,YouTube_Shorts!A:A,$A156,YouTube_Shorts!B:B,$B156))</f>
        <v/>
      </c>
      <c r="I156" s="7" t="str">
        <f>IF($A156="","",SUMIFS(YouTube_Shorts!G:G,YouTube_Shorts!A:A,$A156,YouTube_Shorts!B:B,$B156))</f>
        <v/>
      </c>
      <c r="J156" s="7" t="str">
        <f t="shared" si="1"/>
        <v/>
      </c>
      <c r="K156" s="7" t="str">
        <f>IF($A156="","",SUMIFS(Audio!D:D,Audio!A:A,$A156,Audio!B:B,$B156))</f>
        <v/>
      </c>
      <c r="L156" s="7" t="str">
        <f>IF($A156="","",COUNTIFS(TikTok_Posts!A:A,$A156,TikTok_Posts!B:B,$B156))</f>
        <v/>
      </c>
      <c r="M156" s="7" t="str">
        <f>IF($A156="","",SUMIFS(TikTok_Posts!E:E,TikTok_Posts!A:A,$A156,TikTok_Posts!B:B,$B156))</f>
        <v/>
      </c>
      <c r="N156" s="7" t="str">
        <f>IF($A156="","",COUNTIFS(Instagram_Posts!A:A,$A156,Instagram_Posts!B:B,$B156))</f>
        <v/>
      </c>
      <c r="O156" s="7" t="str">
        <f>IF($A156="","",SUMIFS(Instagram_Posts!E:E,Instagram_Posts!A:A,$A156,Instagram_Posts!B:B,$B156))</f>
        <v/>
      </c>
      <c r="P156" s="7" t="str">
        <f>IF($A156="","",SUMIFS(Blog!E:E,Blog!B:B,$A156,Blog!C:C,$B156))</f>
        <v/>
      </c>
      <c r="Q156" s="7" t="str">
        <f>IF($A156="","",COUNTIFS(LinkedIn_Posts!A:A,$A156,LinkedIn_Posts!B:B,$B156))</f>
        <v/>
      </c>
      <c r="R156" s="7" t="str">
        <f>IF($A156="","",SUMIFS(LinkedIn_Posts!F:F,LinkedIn_Posts!A:A,$A156,LinkedIn_Posts!B:B,$B156))</f>
        <v/>
      </c>
      <c r="S156" s="7" t="str">
        <f>IF($A156="","",SUMIFS(LinkedIn_Posts!G:G,LinkedIn_Posts!A:A,$A156,LinkedIn_Posts!B:B,$B156))</f>
        <v/>
      </c>
      <c r="T156" s="7" t="str">
        <f>IF($A156="","",SUMIFS(LinkedIn_Posts!H:H,LinkedIn_Posts!A:A,$A156,LinkedIn_Posts!B:B,$B156))</f>
        <v/>
      </c>
      <c r="U156" s="7" t="str">
        <f>IF($A156="","",SUMIFS(LinkedIn_Posts!I:I,LinkedIn_Posts!A:A,$A156,LinkedIn_Posts!B:B,$B156))</f>
        <v/>
      </c>
    </row>
    <row r="157">
      <c r="A157" s="7" t="s">
        <v>47</v>
      </c>
      <c r="B157" s="7" t="s">
        <v>47</v>
      </c>
      <c r="C157" s="7" t="s">
        <v>47</v>
      </c>
      <c r="D157" s="7" t="str">
        <f>IF($A157="","",SUMIFS(YouTube_Long!G:G,YouTube_Long!A:A,$A157,YouTube_Long!B:B,$B157))</f>
        <v/>
      </c>
      <c r="E157" s="7" t="str">
        <f>IF($A157="","",SUMIFS(YouTube_Long!H:H,YouTube_Long!A:A,$A157,YouTube_Long!B:B,$B157))</f>
        <v/>
      </c>
      <c r="F157" s="7" t="str">
        <f>IF($A157="","",SUMIFS(YouTube_Long!I:I,YouTube_Long!A:A,$A157,YouTube_Long!B:B,$B157))</f>
        <v/>
      </c>
      <c r="G157" s="7" t="str">
        <f>IF($A157="","",COUNTIFS(YouTube_Shorts!A:A,$A157,YouTube_Shorts!B:B,$B157))</f>
        <v/>
      </c>
      <c r="H157" s="7" t="str">
        <f>IF($A157="","",SUMIFS(YouTube_Shorts!F:F,YouTube_Shorts!A:A,$A157,YouTube_Shorts!B:B,$B157))</f>
        <v/>
      </c>
      <c r="I157" s="7" t="str">
        <f>IF($A157="","",SUMIFS(YouTube_Shorts!G:G,YouTube_Shorts!A:A,$A157,YouTube_Shorts!B:B,$B157))</f>
        <v/>
      </c>
      <c r="J157" s="7" t="str">
        <f t="shared" si="1"/>
        <v/>
      </c>
      <c r="K157" s="7" t="str">
        <f>IF($A157="","",SUMIFS(Audio!D:D,Audio!A:A,$A157,Audio!B:B,$B157))</f>
        <v/>
      </c>
      <c r="L157" s="7" t="str">
        <f>IF($A157="","",COUNTIFS(TikTok_Posts!A:A,$A157,TikTok_Posts!B:B,$B157))</f>
        <v/>
      </c>
      <c r="M157" s="7" t="str">
        <f>IF($A157="","",SUMIFS(TikTok_Posts!E:E,TikTok_Posts!A:A,$A157,TikTok_Posts!B:B,$B157))</f>
        <v/>
      </c>
      <c r="N157" s="7" t="str">
        <f>IF($A157="","",COUNTIFS(Instagram_Posts!A:A,$A157,Instagram_Posts!B:B,$B157))</f>
        <v/>
      </c>
      <c r="O157" s="7" t="str">
        <f>IF($A157="","",SUMIFS(Instagram_Posts!E:E,Instagram_Posts!A:A,$A157,Instagram_Posts!B:B,$B157))</f>
        <v/>
      </c>
      <c r="P157" s="7" t="str">
        <f>IF($A157="","",SUMIFS(Blog!E:E,Blog!B:B,$A157,Blog!C:C,$B157))</f>
        <v/>
      </c>
      <c r="Q157" s="7" t="str">
        <f>IF($A157="","",COUNTIFS(LinkedIn_Posts!A:A,$A157,LinkedIn_Posts!B:B,$B157))</f>
        <v/>
      </c>
      <c r="R157" s="7" t="str">
        <f>IF($A157="","",SUMIFS(LinkedIn_Posts!F:F,LinkedIn_Posts!A:A,$A157,LinkedIn_Posts!B:B,$B157))</f>
        <v/>
      </c>
      <c r="S157" s="7" t="str">
        <f>IF($A157="","",SUMIFS(LinkedIn_Posts!G:G,LinkedIn_Posts!A:A,$A157,LinkedIn_Posts!B:B,$B157))</f>
        <v/>
      </c>
      <c r="T157" s="7" t="str">
        <f>IF($A157="","",SUMIFS(LinkedIn_Posts!H:H,LinkedIn_Posts!A:A,$A157,LinkedIn_Posts!B:B,$B157))</f>
        <v/>
      </c>
      <c r="U157" s="7" t="str">
        <f>IF($A157="","",SUMIFS(LinkedIn_Posts!I:I,LinkedIn_Posts!A:A,$A157,LinkedIn_Posts!B:B,$B157))</f>
        <v/>
      </c>
    </row>
    <row r="158">
      <c r="A158" s="7" t="s">
        <v>47</v>
      </c>
      <c r="B158" s="7" t="s">
        <v>47</v>
      </c>
      <c r="C158" s="7" t="s">
        <v>47</v>
      </c>
      <c r="D158" s="7" t="str">
        <f>IF($A158="","",SUMIFS(YouTube_Long!G:G,YouTube_Long!A:A,$A158,YouTube_Long!B:B,$B158))</f>
        <v/>
      </c>
      <c r="E158" s="7" t="str">
        <f>IF($A158="","",SUMIFS(YouTube_Long!H:H,YouTube_Long!A:A,$A158,YouTube_Long!B:B,$B158))</f>
        <v/>
      </c>
      <c r="F158" s="7" t="str">
        <f>IF($A158="","",SUMIFS(YouTube_Long!I:I,YouTube_Long!A:A,$A158,YouTube_Long!B:B,$B158))</f>
        <v/>
      </c>
      <c r="G158" s="7" t="str">
        <f>IF($A158="","",COUNTIFS(YouTube_Shorts!A:A,$A158,YouTube_Shorts!B:B,$B158))</f>
        <v/>
      </c>
      <c r="H158" s="7" t="str">
        <f>IF($A158="","",SUMIFS(YouTube_Shorts!F:F,YouTube_Shorts!A:A,$A158,YouTube_Shorts!B:B,$B158))</f>
        <v/>
      </c>
      <c r="I158" s="7" t="str">
        <f>IF($A158="","",SUMIFS(YouTube_Shorts!G:G,YouTube_Shorts!A:A,$A158,YouTube_Shorts!B:B,$B158))</f>
        <v/>
      </c>
      <c r="J158" s="7" t="str">
        <f t="shared" si="1"/>
        <v/>
      </c>
      <c r="K158" s="7" t="str">
        <f>IF($A158="","",SUMIFS(Audio!D:D,Audio!A:A,$A158,Audio!B:B,$B158))</f>
        <v/>
      </c>
      <c r="L158" s="7" t="str">
        <f>IF($A158="","",COUNTIFS(TikTok_Posts!A:A,$A158,TikTok_Posts!B:B,$B158))</f>
        <v/>
      </c>
      <c r="M158" s="7" t="str">
        <f>IF($A158="","",SUMIFS(TikTok_Posts!E:E,TikTok_Posts!A:A,$A158,TikTok_Posts!B:B,$B158))</f>
        <v/>
      </c>
      <c r="N158" s="7" t="str">
        <f>IF($A158="","",COUNTIFS(Instagram_Posts!A:A,$A158,Instagram_Posts!B:B,$B158))</f>
        <v/>
      </c>
      <c r="O158" s="7" t="str">
        <f>IF($A158="","",SUMIFS(Instagram_Posts!E:E,Instagram_Posts!A:A,$A158,Instagram_Posts!B:B,$B158))</f>
        <v/>
      </c>
      <c r="P158" s="7" t="str">
        <f>IF($A158="","",SUMIFS(Blog!E:E,Blog!B:B,$A158,Blog!C:C,$B158))</f>
        <v/>
      </c>
      <c r="Q158" s="7" t="str">
        <f>IF($A158="","",COUNTIFS(LinkedIn_Posts!A:A,$A158,LinkedIn_Posts!B:B,$B158))</f>
        <v/>
      </c>
      <c r="R158" s="7" t="str">
        <f>IF($A158="","",SUMIFS(LinkedIn_Posts!F:F,LinkedIn_Posts!A:A,$A158,LinkedIn_Posts!B:B,$B158))</f>
        <v/>
      </c>
      <c r="S158" s="7" t="str">
        <f>IF($A158="","",SUMIFS(LinkedIn_Posts!G:G,LinkedIn_Posts!A:A,$A158,LinkedIn_Posts!B:B,$B158))</f>
        <v/>
      </c>
      <c r="T158" s="7" t="str">
        <f>IF($A158="","",SUMIFS(LinkedIn_Posts!H:H,LinkedIn_Posts!A:A,$A158,LinkedIn_Posts!B:B,$B158))</f>
        <v/>
      </c>
      <c r="U158" s="7" t="str">
        <f>IF($A158="","",SUMIFS(LinkedIn_Posts!I:I,LinkedIn_Posts!A:A,$A158,LinkedIn_Posts!B:B,$B158))</f>
        <v/>
      </c>
    </row>
    <row r="159">
      <c r="A159" s="7" t="s">
        <v>47</v>
      </c>
      <c r="B159" s="7" t="s">
        <v>47</v>
      </c>
      <c r="C159" s="7" t="s">
        <v>47</v>
      </c>
      <c r="D159" s="7" t="str">
        <f>IF($A159="","",SUMIFS(YouTube_Long!G:G,YouTube_Long!A:A,$A159,YouTube_Long!B:B,$B159))</f>
        <v/>
      </c>
      <c r="E159" s="7" t="str">
        <f>IF($A159="","",SUMIFS(YouTube_Long!H:H,YouTube_Long!A:A,$A159,YouTube_Long!B:B,$B159))</f>
        <v/>
      </c>
      <c r="F159" s="7" t="str">
        <f>IF($A159="","",SUMIFS(YouTube_Long!I:I,YouTube_Long!A:A,$A159,YouTube_Long!B:B,$B159))</f>
        <v/>
      </c>
      <c r="G159" s="7" t="str">
        <f>IF($A159="","",COUNTIFS(YouTube_Shorts!A:A,$A159,YouTube_Shorts!B:B,$B159))</f>
        <v/>
      </c>
      <c r="H159" s="7" t="str">
        <f>IF($A159="","",SUMIFS(YouTube_Shorts!F:F,YouTube_Shorts!A:A,$A159,YouTube_Shorts!B:B,$B159))</f>
        <v/>
      </c>
      <c r="I159" s="7" t="str">
        <f>IF($A159="","",SUMIFS(YouTube_Shorts!G:G,YouTube_Shorts!A:A,$A159,YouTube_Shorts!B:B,$B159))</f>
        <v/>
      </c>
      <c r="J159" s="7" t="str">
        <f t="shared" si="1"/>
        <v/>
      </c>
      <c r="K159" s="7" t="str">
        <f>IF($A159="","",SUMIFS(Audio!D:D,Audio!A:A,$A159,Audio!B:B,$B159))</f>
        <v/>
      </c>
      <c r="L159" s="7" t="str">
        <f>IF($A159="","",COUNTIFS(TikTok_Posts!A:A,$A159,TikTok_Posts!B:B,$B159))</f>
        <v/>
      </c>
      <c r="M159" s="7" t="str">
        <f>IF($A159="","",SUMIFS(TikTok_Posts!E:E,TikTok_Posts!A:A,$A159,TikTok_Posts!B:B,$B159))</f>
        <v/>
      </c>
      <c r="N159" s="7" t="str">
        <f>IF($A159="","",COUNTIFS(Instagram_Posts!A:A,$A159,Instagram_Posts!B:B,$B159))</f>
        <v/>
      </c>
      <c r="O159" s="7" t="str">
        <f>IF($A159="","",SUMIFS(Instagram_Posts!E:E,Instagram_Posts!A:A,$A159,Instagram_Posts!B:B,$B159))</f>
        <v/>
      </c>
      <c r="P159" s="7" t="str">
        <f>IF($A159="","",SUMIFS(Blog!E:E,Blog!B:B,$A159,Blog!C:C,$B159))</f>
        <v/>
      </c>
      <c r="Q159" s="7" t="str">
        <f>IF($A159="","",COUNTIFS(LinkedIn_Posts!A:A,$A159,LinkedIn_Posts!B:B,$B159))</f>
        <v/>
      </c>
      <c r="R159" s="7" t="str">
        <f>IF($A159="","",SUMIFS(LinkedIn_Posts!F:F,LinkedIn_Posts!A:A,$A159,LinkedIn_Posts!B:B,$B159))</f>
        <v/>
      </c>
      <c r="S159" s="7" t="str">
        <f>IF($A159="","",SUMIFS(LinkedIn_Posts!G:G,LinkedIn_Posts!A:A,$A159,LinkedIn_Posts!B:B,$B159))</f>
        <v/>
      </c>
      <c r="T159" s="7" t="str">
        <f>IF($A159="","",SUMIFS(LinkedIn_Posts!H:H,LinkedIn_Posts!A:A,$A159,LinkedIn_Posts!B:B,$B159))</f>
        <v/>
      </c>
      <c r="U159" s="7" t="str">
        <f>IF($A159="","",SUMIFS(LinkedIn_Posts!I:I,LinkedIn_Posts!A:A,$A159,LinkedIn_Posts!B:B,$B159))</f>
        <v/>
      </c>
    </row>
    <row r="160">
      <c r="A160" s="7" t="s">
        <v>47</v>
      </c>
      <c r="B160" s="7" t="s">
        <v>47</v>
      </c>
      <c r="C160" s="7" t="s">
        <v>47</v>
      </c>
      <c r="D160" s="7" t="str">
        <f>IF($A160="","",SUMIFS(YouTube_Long!G:G,YouTube_Long!A:A,$A160,YouTube_Long!B:B,$B160))</f>
        <v/>
      </c>
      <c r="E160" s="7" t="str">
        <f>IF($A160="","",SUMIFS(YouTube_Long!H:H,YouTube_Long!A:A,$A160,YouTube_Long!B:B,$B160))</f>
        <v/>
      </c>
      <c r="F160" s="7" t="str">
        <f>IF($A160="","",SUMIFS(YouTube_Long!I:I,YouTube_Long!A:A,$A160,YouTube_Long!B:B,$B160))</f>
        <v/>
      </c>
      <c r="G160" s="7" t="str">
        <f>IF($A160="","",COUNTIFS(YouTube_Shorts!A:A,$A160,YouTube_Shorts!B:B,$B160))</f>
        <v/>
      </c>
      <c r="H160" s="7" t="str">
        <f>IF($A160="","",SUMIFS(YouTube_Shorts!F:F,YouTube_Shorts!A:A,$A160,YouTube_Shorts!B:B,$B160))</f>
        <v/>
      </c>
      <c r="I160" s="7" t="str">
        <f>IF($A160="","",SUMIFS(YouTube_Shorts!G:G,YouTube_Shorts!A:A,$A160,YouTube_Shorts!B:B,$B160))</f>
        <v/>
      </c>
      <c r="J160" s="7" t="str">
        <f t="shared" si="1"/>
        <v/>
      </c>
      <c r="K160" s="7" t="str">
        <f>IF($A160="","",SUMIFS(Audio!D:D,Audio!A:A,$A160,Audio!B:B,$B160))</f>
        <v/>
      </c>
      <c r="L160" s="7" t="str">
        <f>IF($A160="","",COUNTIFS(TikTok_Posts!A:A,$A160,TikTok_Posts!B:B,$B160))</f>
        <v/>
      </c>
      <c r="M160" s="7" t="str">
        <f>IF($A160="","",SUMIFS(TikTok_Posts!E:E,TikTok_Posts!A:A,$A160,TikTok_Posts!B:B,$B160))</f>
        <v/>
      </c>
      <c r="N160" s="7" t="str">
        <f>IF($A160="","",COUNTIFS(Instagram_Posts!A:A,$A160,Instagram_Posts!B:B,$B160))</f>
        <v/>
      </c>
      <c r="O160" s="7" t="str">
        <f>IF($A160="","",SUMIFS(Instagram_Posts!E:E,Instagram_Posts!A:A,$A160,Instagram_Posts!B:B,$B160))</f>
        <v/>
      </c>
      <c r="P160" s="7" t="str">
        <f>IF($A160="","",SUMIFS(Blog!E:E,Blog!B:B,$A160,Blog!C:C,$B160))</f>
        <v/>
      </c>
      <c r="Q160" s="7" t="str">
        <f>IF($A160="","",COUNTIFS(LinkedIn_Posts!A:A,$A160,LinkedIn_Posts!B:B,$B160))</f>
        <v/>
      </c>
      <c r="R160" s="7" t="str">
        <f>IF($A160="","",SUMIFS(LinkedIn_Posts!F:F,LinkedIn_Posts!A:A,$A160,LinkedIn_Posts!B:B,$B160))</f>
        <v/>
      </c>
      <c r="S160" s="7" t="str">
        <f>IF($A160="","",SUMIFS(LinkedIn_Posts!G:G,LinkedIn_Posts!A:A,$A160,LinkedIn_Posts!B:B,$B160))</f>
        <v/>
      </c>
      <c r="T160" s="7" t="str">
        <f>IF($A160="","",SUMIFS(LinkedIn_Posts!H:H,LinkedIn_Posts!A:A,$A160,LinkedIn_Posts!B:B,$B160))</f>
        <v/>
      </c>
      <c r="U160" s="7" t="str">
        <f>IF($A160="","",SUMIFS(LinkedIn_Posts!I:I,LinkedIn_Posts!A:A,$A160,LinkedIn_Posts!B:B,$B160))</f>
        <v/>
      </c>
    </row>
    <row r="161">
      <c r="A161" s="7" t="s">
        <v>47</v>
      </c>
      <c r="B161" s="7" t="s">
        <v>47</v>
      </c>
      <c r="C161" s="7" t="s">
        <v>47</v>
      </c>
      <c r="D161" s="7" t="str">
        <f>IF($A161="","",SUMIFS(YouTube_Long!G:G,YouTube_Long!A:A,$A161,YouTube_Long!B:B,$B161))</f>
        <v/>
      </c>
      <c r="E161" s="7" t="str">
        <f>IF($A161="","",SUMIFS(YouTube_Long!H:H,YouTube_Long!A:A,$A161,YouTube_Long!B:B,$B161))</f>
        <v/>
      </c>
      <c r="F161" s="7" t="str">
        <f>IF($A161="","",SUMIFS(YouTube_Long!I:I,YouTube_Long!A:A,$A161,YouTube_Long!B:B,$B161))</f>
        <v/>
      </c>
      <c r="G161" s="7" t="str">
        <f>IF($A161="","",COUNTIFS(YouTube_Shorts!A:A,$A161,YouTube_Shorts!B:B,$B161))</f>
        <v/>
      </c>
      <c r="H161" s="7" t="str">
        <f>IF($A161="","",SUMIFS(YouTube_Shorts!F:F,YouTube_Shorts!A:A,$A161,YouTube_Shorts!B:B,$B161))</f>
        <v/>
      </c>
      <c r="I161" s="7" t="str">
        <f>IF($A161="","",SUMIFS(YouTube_Shorts!G:G,YouTube_Shorts!A:A,$A161,YouTube_Shorts!B:B,$B161))</f>
        <v/>
      </c>
      <c r="J161" s="7" t="str">
        <f t="shared" si="1"/>
        <v/>
      </c>
      <c r="K161" s="7" t="str">
        <f>IF($A161="","",SUMIFS(Audio!D:D,Audio!A:A,$A161,Audio!B:B,$B161))</f>
        <v/>
      </c>
      <c r="L161" s="7" t="str">
        <f>IF($A161="","",COUNTIFS(TikTok_Posts!A:A,$A161,TikTok_Posts!B:B,$B161))</f>
        <v/>
      </c>
      <c r="M161" s="7" t="str">
        <f>IF($A161="","",SUMIFS(TikTok_Posts!E:E,TikTok_Posts!A:A,$A161,TikTok_Posts!B:B,$B161))</f>
        <v/>
      </c>
      <c r="N161" s="7" t="str">
        <f>IF($A161="","",COUNTIFS(Instagram_Posts!A:A,$A161,Instagram_Posts!B:B,$B161))</f>
        <v/>
      </c>
      <c r="O161" s="7" t="str">
        <f>IF($A161="","",SUMIFS(Instagram_Posts!E:E,Instagram_Posts!A:A,$A161,Instagram_Posts!B:B,$B161))</f>
        <v/>
      </c>
      <c r="P161" s="7" t="str">
        <f>IF($A161="","",SUMIFS(Blog!E:E,Blog!B:B,$A161,Blog!C:C,$B161))</f>
        <v/>
      </c>
      <c r="Q161" s="7" t="str">
        <f>IF($A161="","",COUNTIFS(LinkedIn_Posts!A:A,$A161,LinkedIn_Posts!B:B,$B161))</f>
        <v/>
      </c>
      <c r="R161" s="7" t="str">
        <f>IF($A161="","",SUMIFS(LinkedIn_Posts!F:F,LinkedIn_Posts!A:A,$A161,LinkedIn_Posts!B:B,$B161))</f>
        <v/>
      </c>
      <c r="S161" s="7" t="str">
        <f>IF($A161="","",SUMIFS(LinkedIn_Posts!G:G,LinkedIn_Posts!A:A,$A161,LinkedIn_Posts!B:B,$B161))</f>
        <v/>
      </c>
      <c r="T161" s="7" t="str">
        <f>IF($A161="","",SUMIFS(LinkedIn_Posts!H:H,LinkedIn_Posts!A:A,$A161,LinkedIn_Posts!B:B,$B161))</f>
        <v/>
      </c>
      <c r="U161" s="7" t="str">
        <f>IF($A161="","",SUMIFS(LinkedIn_Posts!I:I,LinkedIn_Posts!A:A,$A161,LinkedIn_Posts!B:B,$B161))</f>
        <v/>
      </c>
    </row>
    <row r="162">
      <c r="A162" s="7" t="s">
        <v>47</v>
      </c>
      <c r="B162" s="7" t="s">
        <v>47</v>
      </c>
      <c r="C162" s="7" t="s">
        <v>47</v>
      </c>
      <c r="D162" s="7" t="str">
        <f>IF($A162="","",SUMIFS(YouTube_Long!G:G,YouTube_Long!A:A,$A162,YouTube_Long!B:B,$B162))</f>
        <v/>
      </c>
      <c r="E162" s="7" t="str">
        <f>IF($A162="","",SUMIFS(YouTube_Long!H:H,YouTube_Long!A:A,$A162,YouTube_Long!B:B,$B162))</f>
        <v/>
      </c>
      <c r="F162" s="7" t="str">
        <f>IF($A162="","",SUMIFS(YouTube_Long!I:I,YouTube_Long!A:A,$A162,YouTube_Long!B:B,$B162))</f>
        <v/>
      </c>
      <c r="G162" s="7" t="str">
        <f>IF($A162="","",COUNTIFS(YouTube_Shorts!A:A,$A162,YouTube_Shorts!B:B,$B162))</f>
        <v/>
      </c>
      <c r="H162" s="7" t="str">
        <f>IF($A162="","",SUMIFS(YouTube_Shorts!F:F,YouTube_Shorts!A:A,$A162,YouTube_Shorts!B:B,$B162))</f>
        <v/>
      </c>
      <c r="I162" s="7" t="str">
        <f>IF($A162="","",SUMIFS(YouTube_Shorts!G:G,YouTube_Shorts!A:A,$A162,YouTube_Shorts!B:B,$B162))</f>
        <v/>
      </c>
      <c r="J162" s="7" t="str">
        <f t="shared" si="1"/>
        <v/>
      </c>
      <c r="K162" s="7" t="str">
        <f>IF($A162="","",SUMIFS(Audio!D:D,Audio!A:A,$A162,Audio!B:B,$B162))</f>
        <v/>
      </c>
      <c r="L162" s="7" t="str">
        <f>IF($A162="","",COUNTIFS(TikTok_Posts!A:A,$A162,TikTok_Posts!B:B,$B162))</f>
        <v/>
      </c>
      <c r="M162" s="7" t="str">
        <f>IF($A162="","",SUMIFS(TikTok_Posts!E:E,TikTok_Posts!A:A,$A162,TikTok_Posts!B:B,$B162))</f>
        <v/>
      </c>
      <c r="N162" s="7" t="str">
        <f>IF($A162="","",COUNTIFS(Instagram_Posts!A:A,$A162,Instagram_Posts!B:B,$B162))</f>
        <v/>
      </c>
      <c r="O162" s="7" t="str">
        <f>IF($A162="","",SUMIFS(Instagram_Posts!E:E,Instagram_Posts!A:A,$A162,Instagram_Posts!B:B,$B162))</f>
        <v/>
      </c>
      <c r="P162" s="7" t="str">
        <f>IF($A162="","",SUMIFS(Blog!E:E,Blog!B:B,$A162,Blog!C:C,$B162))</f>
        <v/>
      </c>
      <c r="Q162" s="7" t="str">
        <f>IF($A162="","",COUNTIFS(LinkedIn_Posts!A:A,$A162,LinkedIn_Posts!B:B,$B162))</f>
        <v/>
      </c>
      <c r="R162" s="7" t="str">
        <f>IF($A162="","",SUMIFS(LinkedIn_Posts!F:F,LinkedIn_Posts!A:A,$A162,LinkedIn_Posts!B:B,$B162))</f>
        <v/>
      </c>
      <c r="S162" s="7" t="str">
        <f>IF($A162="","",SUMIFS(LinkedIn_Posts!G:G,LinkedIn_Posts!A:A,$A162,LinkedIn_Posts!B:B,$B162))</f>
        <v/>
      </c>
      <c r="T162" s="7" t="str">
        <f>IF($A162="","",SUMIFS(LinkedIn_Posts!H:H,LinkedIn_Posts!A:A,$A162,LinkedIn_Posts!B:B,$B162))</f>
        <v/>
      </c>
      <c r="U162" s="7" t="str">
        <f>IF($A162="","",SUMIFS(LinkedIn_Posts!I:I,LinkedIn_Posts!A:A,$A162,LinkedIn_Posts!B:B,$B162))</f>
        <v/>
      </c>
    </row>
    <row r="163">
      <c r="A163" s="7" t="s">
        <v>47</v>
      </c>
      <c r="B163" s="7" t="s">
        <v>47</v>
      </c>
      <c r="C163" s="7" t="s">
        <v>47</v>
      </c>
      <c r="D163" s="7" t="str">
        <f>IF($A163="","",SUMIFS(YouTube_Long!G:G,YouTube_Long!A:A,$A163,YouTube_Long!B:B,$B163))</f>
        <v/>
      </c>
      <c r="E163" s="7" t="str">
        <f>IF($A163="","",SUMIFS(YouTube_Long!H:H,YouTube_Long!A:A,$A163,YouTube_Long!B:B,$B163))</f>
        <v/>
      </c>
      <c r="F163" s="7" t="str">
        <f>IF($A163="","",SUMIFS(YouTube_Long!I:I,YouTube_Long!A:A,$A163,YouTube_Long!B:B,$B163))</f>
        <v/>
      </c>
      <c r="G163" s="7" t="str">
        <f>IF($A163="","",COUNTIFS(YouTube_Shorts!A:A,$A163,YouTube_Shorts!B:B,$B163))</f>
        <v/>
      </c>
      <c r="H163" s="7" t="str">
        <f>IF($A163="","",SUMIFS(YouTube_Shorts!F:F,YouTube_Shorts!A:A,$A163,YouTube_Shorts!B:B,$B163))</f>
        <v/>
      </c>
      <c r="I163" s="7" t="str">
        <f>IF($A163="","",SUMIFS(YouTube_Shorts!G:G,YouTube_Shorts!A:A,$A163,YouTube_Shorts!B:B,$B163))</f>
        <v/>
      </c>
      <c r="J163" s="7" t="str">
        <f t="shared" si="1"/>
        <v/>
      </c>
      <c r="K163" s="7" t="str">
        <f>IF($A163="","",SUMIFS(Audio!D:D,Audio!A:A,$A163,Audio!B:B,$B163))</f>
        <v/>
      </c>
      <c r="L163" s="7" t="str">
        <f>IF($A163="","",COUNTIFS(TikTok_Posts!A:A,$A163,TikTok_Posts!B:B,$B163))</f>
        <v/>
      </c>
      <c r="M163" s="7" t="str">
        <f>IF($A163="","",SUMIFS(TikTok_Posts!E:E,TikTok_Posts!A:A,$A163,TikTok_Posts!B:B,$B163))</f>
        <v/>
      </c>
      <c r="N163" s="7" t="str">
        <f>IF($A163="","",COUNTIFS(Instagram_Posts!A:A,$A163,Instagram_Posts!B:B,$B163))</f>
        <v/>
      </c>
      <c r="O163" s="7" t="str">
        <f>IF($A163="","",SUMIFS(Instagram_Posts!E:E,Instagram_Posts!A:A,$A163,Instagram_Posts!B:B,$B163))</f>
        <v/>
      </c>
      <c r="P163" s="7" t="str">
        <f>IF($A163="","",SUMIFS(Blog!E:E,Blog!B:B,$A163,Blog!C:C,$B163))</f>
        <v/>
      </c>
      <c r="Q163" s="7" t="str">
        <f>IF($A163="","",COUNTIFS(LinkedIn_Posts!A:A,$A163,LinkedIn_Posts!B:B,$B163))</f>
        <v/>
      </c>
      <c r="R163" s="7" t="str">
        <f>IF($A163="","",SUMIFS(LinkedIn_Posts!F:F,LinkedIn_Posts!A:A,$A163,LinkedIn_Posts!B:B,$B163))</f>
        <v/>
      </c>
      <c r="S163" s="7" t="str">
        <f>IF($A163="","",SUMIFS(LinkedIn_Posts!G:G,LinkedIn_Posts!A:A,$A163,LinkedIn_Posts!B:B,$B163))</f>
        <v/>
      </c>
      <c r="T163" s="7" t="str">
        <f>IF($A163="","",SUMIFS(LinkedIn_Posts!H:H,LinkedIn_Posts!A:A,$A163,LinkedIn_Posts!B:B,$B163))</f>
        <v/>
      </c>
      <c r="U163" s="7" t="str">
        <f>IF($A163="","",SUMIFS(LinkedIn_Posts!I:I,LinkedIn_Posts!A:A,$A163,LinkedIn_Posts!B:B,$B163))</f>
        <v/>
      </c>
    </row>
    <row r="164">
      <c r="A164" s="7" t="s">
        <v>47</v>
      </c>
      <c r="B164" s="7" t="s">
        <v>47</v>
      </c>
      <c r="C164" s="7" t="s">
        <v>47</v>
      </c>
      <c r="D164" s="7" t="str">
        <f>IF($A164="","",SUMIFS(YouTube_Long!G:G,YouTube_Long!A:A,$A164,YouTube_Long!B:B,$B164))</f>
        <v/>
      </c>
      <c r="E164" s="7" t="str">
        <f>IF($A164="","",SUMIFS(YouTube_Long!H:H,YouTube_Long!A:A,$A164,YouTube_Long!B:B,$B164))</f>
        <v/>
      </c>
      <c r="F164" s="7" t="str">
        <f>IF($A164="","",SUMIFS(YouTube_Long!I:I,YouTube_Long!A:A,$A164,YouTube_Long!B:B,$B164))</f>
        <v/>
      </c>
      <c r="G164" s="7" t="str">
        <f>IF($A164="","",COUNTIFS(YouTube_Shorts!A:A,$A164,YouTube_Shorts!B:B,$B164))</f>
        <v/>
      </c>
      <c r="H164" s="7" t="str">
        <f>IF($A164="","",SUMIFS(YouTube_Shorts!F:F,YouTube_Shorts!A:A,$A164,YouTube_Shorts!B:B,$B164))</f>
        <v/>
      </c>
      <c r="I164" s="7" t="str">
        <f>IF($A164="","",SUMIFS(YouTube_Shorts!G:G,YouTube_Shorts!A:A,$A164,YouTube_Shorts!B:B,$B164))</f>
        <v/>
      </c>
      <c r="J164" s="7" t="str">
        <f t="shared" si="1"/>
        <v/>
      </c>
      <c r="K164" s="7" t="str">
        <f>IF($A164="","",SUMIFS(Audio!D:D,Audio!A:A,$A164,Audio!B:B,$B164))</f>
        <v/>
      </c>
      <c r="L164" s="7" t="str">
        <f>IF($A164="","",COUNTIFS(TikTok_Posts!A:A,$A164,TikTok_Posts!B:B,$B164))</f>
        <v/>
      </c>
      <c r="M164" s="7" t="str">
        <f>IF($A164="","",SUMIFS(TikTok_Posts!E:E,TikTok_Posts!A:A,$A164,TikTok_Posts!B:B,$B164))</f>
        <v/>
      </c>
      <c r="N164" s="7" t="str">
        <f>IF($A164="","",COUNTIFS(Instagram_Posts!A:A,$A164,Instagram_Posts!B:B,$B164))</f>
        <v/>
      </c>
      <c r="O164" s="7" t="str">
        <f>IF($A164="","",SUMIFS(Instagram_Posts!E:E,Instagram_Posts!A:A,$A164,Instagram_Posts!B:B,$B164))</f>
        <v/>
      </c>
      <c r="P164" s="7" t="str">
        <f>IF($A164="","",SUMIFS(Blog!E:E,Blog!B:B,$A164,Blog!C:C,$B164))</f>
        <v/>
      </c>
      <c r="Q164" s="7" t="str">
        <f>IF($A164="","",COUNTIFS(LinkedIn_Posts!A:A,$A164,LinkedIn_Posts!B:B,$B164))</f>
        <v/>
      </c>
      <c r="R164" s="7" t="str">
        <f>IF($A164="","",SUMIFS(LinkedIn_Posts!F:F,LinkedIn_Posts!A:A,$A164,LinkedIn_Posts!B:B,$B164))</f>
        <v/>
      </c>
      <c r="S164" s="7" t="str">
        <f>IF($A164="","",SUMIFS(LinkedIn_Posts!G:G,LinkedIn_Posts!A:A,$A164,LinkedIn_Posts!B:B,$B164))</f>
        <v/>
      </c>
      <c r="T164" s="7" t="str">
        <f>IF($A164="","",SUMIFS(LinkedIn_Posts!H:H,LinkedIn_Posts!A:A,$A164,LinkedIn_Posts!B:B,$B164))</f>
        <v/>
      </c>
      <c r="U164" s="7" t="str">
        <f>IF($A164="","",SUMIFS(LinkedIn_Posts!I:I,LinkedIn_Posts!A:A,$A164,LinkedIn_Posts!B:B,$B164))</f>
        <v/>
      </c>
    </row>
    <row r="165">
      <c r="A165" s="7" t="s">
        <v>47</v>
      </c>
      <c r="B165" s="7" t="s">
        <v>47</v>
      </c>
      <c r="C165" s="7" t="s">
        <v>47</v>
      </c>
      <c r="D165" s="7" t="str">
        <f>IF($A165="","",SUMIFS(YouTube_Long!G:G,YouTube_Long!A:A,$A165,YouTube_Long!B:B,$B165))</f>
        <v/>
      </c>
      <c r="E165" s="7" t="str">
        <f>IF($A165="","",SUMIFS(YouTube_Long!H:H,YouTube_Long!A:A,$A165,YouTube_Long!B:B,$B165))</f>
        <v/>
      </c>
      <c r="F165" s="7" t="str">
        <f>IF($A165="","",SUMIFS(YouTube_Long!I:I,YouTube_Long!A:A,$A165,YouTube_Long!B:B,$B165))</f>
        <v/>
      </c>
      <c r="G165" s="7" t="str">
        <f>IF($A165="","",COUNTIFS(YouTube_Shorts!A:A,$A165,YouTube_Shorts!B:B,$B165))</f>
        <v/>
      </c>
      <c r="H165" s="7" t="str">
        <f>IF($A165="","",SUMIFS(YouTube_Shorts!F:F,YouTube_Shorts!A:A,$A165,YouTube_Shorts!B:B,$B165))</f>
        <v/>
      </c>
      <c r="I165" s="7" t="str">
        <f>IF($A165="","",SUMIFS(YouTube_Shorts!G:G,YouTube_Shorts!A:A,$A165,YouTube_Shorts!B:B,$B165))</f>
        <v/>
      </c>
      <c r="J165" s="7" t="str">
        <f t="shared" si="1"/>
        <v/>
      </c>
      <c r="K165" s="7" t="str">
        <f>IF($A165="","",SUMIFS(Audio!D:D,Audio!A:A,$A165,Audio!B:B,$B165))</f>
        <v/>
      </c>
      <c r="L165" s="7" t="str">
        <f>IF($A165="","",COUNTIFS(TikTok_Posts!A:A,$A165,TikTok_Posts!B:B,$B165))</f>
        <v/>
      </c>
      <c r="M165" s="7" t="str">
        <f>IF($A165="","",SUMIFS(TikTok_Posts!E:E,TikTok_Posts!A:A,$A165,TikTok_Posts!B:B,$B165))</f>
        <v/>
      </c>
      <c r="N165" s="7" t="str">
        <f>IF($A165="","",COUNTIFS(Instagram_Posts!A:A,$A165,Instagram_Posts!B:B,$B165))</f>
        <v/>
      </c>
      <c r="O165" s="7" t="str">
        <f>IF($A165="","",SUMIFS(Instagram_Posts!E:E,Instagram_Posts!A:A,$A165,Instagram_Posts!B:B,$B165))</f>
        <v/>
      </c>
      <c r="P165" s="7" t="str">
        <f>IF($A165="","",SUMIFS(Blog!E:E,Blog!B:B,$A165,Blog!C:C,$B165))</f>
        <v/>
      </c>
      <c r="Q165" s="7" t="str">
        <f>IF($A165="","",COUNTIFS(LinkedIn_Posts!A:A,$A165,LinkedIn_Posts!B:B,$B165))</f>
        <v/>
      </c>
      <c r="R165" s="7" t="str">
        <f>IF($A165="","",SUMIFS(LinkedIn_Posts!F:F,LinkedIn_Posts!A:A,$A165,LinkedIn_Posts!B:B,$B165))</f>
        <v/>
      </c>
      <c r="S165" s="7" t="str">
        <f>IF($A165="","",SUMIFS(LinkedIn_Posts!G:G,LinkedIn_Posts!A:A,$A165,LinkedIn_Posts!B:B,$B165))</f>
        <v/>
      </c>
      <c r="T165" s="7" t="str">
        <f>IF($A165="","",SUMIFS(LinkedIn_Posts!H:H,LinkedIn_Posts!A:A,$A165,LinkedIn_Posts!B:B,$B165))</f>
        <v/>
      </c>
      <c r="U165" s="7" t="str">
        <f>IF($A165="","",SUMIFS(LinkedIn_Posts!I:I,LinkedIn_Posts!A:A,$A165,LinkedIn_Posts!B:B,$B165))</f>
        <v/>
      </c>
    </row>
    <row r="166">
      <c r="A166" s="7" t="s">
        <v>47</v>
      </c>
      <c r="B166" s="7" t="s">
        <v>47</v>
      </c>
      <c r="C166" s="7" t="s">
        <v>47</v>
      </c>
      <c r="D166" s="7" t="str">
        <f>IF($A166="","",SUMIFS(YouTube_Long!G:G,YouTube_Long!A:A,$A166,YouTube_Long!B:B,$B166))</f>
        <v/>
      </c>
      <c r="E166" s="7" t="str">
        <f>IF($A166="","",SUMIFS(YouTube_Long!H:H,YouTube_Long!A:A,$A166,YouTube_Long!B:B,$B166))</f>
        <v/>
      </c>
      <c r="F166" s="7" t="str">
        <f>IF($A166="","",SUMIFS(YouTube_Long!I:I,YouTube_Long!A:A,$A166,YouTube_Long!B:B,$B166))</f>
        <v/>
      </c>
      <c r="G166" s="7" t="str">
        <f>IF($A166="","",COUNTIFS(YouTube_Shorts!A:A,$A166,YouTube_Shorts!B:B,$B166))</f>
        <v/>
      </c>
      <c r="H166" s="7" t="str">
        <f>IF($A166="","",SUMIFS(YouTube_Shorts!F:F,YouTube_Shorts!A:A,$A166,YouTube_Shorts!B:B,$B166))</f>
        <v/>
      </c>
      <c r="I166" s="7" t="str">
        <f>IF($A166="","",SUMIFS(YouTube_Shorts!G:G,YouTube_Shorts!A:A,$A166,YouTube_Shorts!B:B,$B166))</f>
        <v/>
      </c>
      <c r="J166" s="7" t="str">
        <f t="shared" si="1"/>
        <v/>
      </c>
      <c r="K166" s="7" t="str">
        <f>IF($A166="","",SUMIFS(Audio!D:D,Audio!A:A,$A166,Audio!B:B,$B166))</f>
        <v/>
      </c>
      <c r="L166" s="7" t="str">
        <f>IF($A166="","",COUNTIFS(TikTok_Posts!A:A,$A166,TikTok_Posts!B:B,$B166))</f>
        <v/>
      </c>
      <c r="M166" s="7" t="str">
        <f>IF($A166="","",SUMIFS(TikTok_Posts!E:E,TikTok_Posts!A:A,$A166,TikTok_Posts!B:B,$B166))</f>
        <v/>
      </c>
      <c r="N166" s="7" t="str">
        <f>IF($A166="","",COUNTIFS(Instagram_Posts!A:A,$A166,Instagram_Posts!B:B,$B166))</f>
        <v/>
      </c>
      <c r="O166" s="7" t="str">
        <f>IF($A166="","",SUMIFS(Instagram_Posts!E:E,Instagram_Posts!A:A,$A166,Instagram_Posts!B:B,$B166))</f>
        <v/>
      </c>
      <c r="P166" s="7" t="str">
        <f>IF($A166="","",SUMIFS(Blog!E:E,Blog!B:B,$A166,Blog!C:C,$B166))</f>
        <v/>
      </c>
      <c r="Q166" s="7" t="str">
        <f>IF($A166="","",COUNTIFS(LinkedIn_Posts!A:A,$A166,LinkedIn_Posts!B:B,$B166))</f>
        <v/>
      </c>
      <c r="R166" s="7" t="str">
        <f>IF($A166="","",SUMIFS(LinkedIn_Posts!F:F,LinkedIn_Posts!A:A,$A166,LinkedIn_Posts!B:B,$B166))</f>
        <v/>
      </c>
      <c r="S166" s="7" t="str">
        <f>IF($A166="","",SUMIFS(LinkedIn_Posts!G:G,LinkedIn_Posts!A:A,$A166,LinkedIn_Posts!B:B,$B166))</f>
        <v/>
      </c>
      <c r="T166" s="7" t="str">
        <f>IF($A166="","",SUMIFS(LinkedIn_Posts!H:H,LinkedIn_Posts!A:A,$A166,LinkedIn_Posts!B:B,$B166))</f>
        <v/>
      </c>
      <c r="U166" s="7" t="str">
        <f>IF($A166="","",SUMIFS(LinkedIn_Posts!I:I,LinkedIn_Posts!A:A,$A166,LinkedIn_Posts!B:B,$B166))</f>
        <v/>
      </c>
    </row>
    <row r="167">
      <c r="A167" s="7" t="s">
        <v>47</v>
      </c>
      <c r="B167" s="7" t="s">
        <v>47</v>
      </c>
      <c r="C167" s="7" t="s">
        <v>47</v>
      </c>
      <c r="D167" s="7" t="str">
        <f>IF($A167="","",SUMIFS(YouTube_Long!G:G,YouTube_Long!A:A,$A167,YouTube_Long!B:B,$B167))</f>
        <v/>
      </c>
      <c r="E167" s="7" t="str">
        <f>IF($A167="","",SUMIFS(YouTube_Long!H:H,YouTube_Long!A:A,$A167,YouTube_Long!B:B,$B167))</f>
        <v/>
      </c>
      <c r="F167" s="7" t="str">
        <f>IF($A167="","",SUMIFS(YouTube_Long!I:I,YouTube_Long!A:A,$A167,YouTube_Long!B:B,$B167))</f>
        <v/>
      </c>
      <c r="G167" s="7" t="str">
        <f>IF($A167="","",COUNTIFS(YouTube_Shorts!A:A,$A167,YouTube_Shorts!B:B,$B167))</f>
        <v/>
      </c>
      <c r="H167" s="7" t="str">
        <f>IF($A167="","",SUMIFS(YouTube_Shorts!F:F,YouTube_Shorts!A:A,$A167,YouTube_Shorts!B:B,$B167))</f>
        <v/>
      </c>
      <c r="I167" s="7" t="str">
        <f>IF($A167="","",SUMIFS(YouTube_Shorts!G:G,YouTube_Shorts!A:A,$A167,YouTube_Shorts!B:B,$B167))</f>
        <v/>
      </c>
      <c r="J167" s="7" t="str">
        <f t="shared" si="1"/>
        <v/>
      </c>
      <c r="K167" s="7" t="str">
        <f>IF($A167="","",SUMIFS(Audio!D:D,Audio!A:A,$A167,Audio!B:B,$B167))</f>
        <v/>
      </c>
      <c r="L167" s="7" t="str">
        <f>IF($A167="","",COUNTIFS(TikTok_Posts!A:A,$A167,TikTok_Posts!B:B,$B167))</f>
        <v/>
      </c>
      <c r="M167" s="7" t="str">
        <f>IF($A167="","",SUMIFS(TikTok_Posts!E:E,TikTok_Posts!A:A,$A167,TikTok_Posts!B:B,$B167))</f>
        <v/>
      </c>
      <c r="N167" s="7" t="str">
        <f>IF($A167="","",COUNTIFS(Instagram_Posts!A:A,$A167,Instagram_Posts!B:B,$B167))</f>
        <v/>
      </c>
      <c r="O167" s="7" t="str">
        <f>IF($A167="","",SUMIFS(Instagram_Posts!E:E,Instagram_Posts!A:A,$A167,Instagram_Posts!B:B,$B167))</f>
        <v/>
      </c>
      <c r="P167" s="7" t="str">
        <f>IF($A167="","",SUMIFS(Blog!E:E,Blog!B:B,$A167,Blog!C:C,$B167))</f>
        <v/>
      </c>
      <c r="Q167" s="7" t="str">
        <f>IF($A167="","",COUNTIFS(LinkedIn_Posts!A:A,$A167,LinkedIn_Posts!B:B,$B167))</f>
        <v/>
      </c>
      <c r="R167" s="7" t="str">
        <f>IF($A167="","",SUMIFS(LinkedIn_Posts!F:F,LinkedIn_Posts!A:A,$A167,LinkedIn_Posts!B:B,$B167))</f>
        <v/>
      </c>
      <c r="S167" s="7" t="str">
        <f>IF($A167="","",SUMIFS(LinkedIn_Posts!G:G,LinkedIn_Posts!A:A,$A167,LinkedIn_Posts!B:B,$B167))</f>
        <v/>
      </c>
      <c r="T167" s="7" t="str">
        <f>IF($A167="","",SUMIFS(LinkedIn_Posts!H:H,LinkedIn_Posts!A:A,$A167,LinkedIn_Posts!B:B,$B167))</f>
        <v/>
      </c>
      <c r="U167" s="7" t="str">
        <f>IF($A167="","",SUMIFS(LinkedIn_Posts!I:I,LinkedIn_Posts!A:A,$A167,LinkedIn_Posts!B:B,$B167))</f>
        <v/>
      </c>
    </row>
    <row r="168">
      <c r="A168" s="7" t="s">
        <v>47</v>
      </c>
      <c r="B168" s="7" t="s">
        <v>47</v>
      </c>
      <c r="C168" s="7" t="s">
        <v>47</v>
      </c>
      <c r="D168" s="7" t="str">
        <f>IF($A168="","",SUMIFS(YouTube_Long!G:G,YouTube_Long!A:A,$A168,YouTube_Long!B:B,$B168))</f>
        <v/>
      </c>
      <c r="E168" s="7" t="str">
        <f>IF($A168="","",SUMIFS(YouTube_Long!H:H,YouTube_Long!A:A,$A168,YouTube_Long!B:B,$B168))</f>
        <v/>
      </c>
      <c r="F168" s="7" t="str">
        <f>IF($A168="","",SUMIFS(YouTube_Long!I:I,YouTube_Long!A:A,$A168,YouTube_Long!B:B,$B168))</f>
        <v/>
      </c>
      <c r="G168" s="7" t="str">
        <f>IF($A168="","",COUNTIFS(YouTube_Shorts!A:A,$A168,YouTube_Shorts!B:B,$B168))</f>
        <v/>
      </c>
      <c r="H168" s="7" t="str">
        <f>IF($A168="","",SUMIFS(YouTube_Shorts!F:F,YouTube_Shorts!A:A,$A168,YouTube_Shorts!B:B,$B168))</f>
        <v/>
      </c>
      <c r="I168" s="7" t="str">
        <f>IF($A168="","",SUMIFS(YouTube_Shorts!G:G,YouTube_Shorts!A:A,$A168,YouTube_Shorts!B:B,$B168))</f>
        <v/>
      </c>
      <c r="J168" s="7" t="str">
        <f t="shared" si="1"/>
        <v/>
      </c>
      <c r="K168" s="7" t="str">
        <f>IF($A168="","",SUMIFS(Audio!D:D,Audio!A:A,$A168,Audio!B:B,$B168))</f>
        <v/>
      </c>
      <c r="L168" s="7" t="str">
        <f>IF($A168="","",COUNTIFS(TikTok_Posts!A:A,$A168,TikTok_Posts!B:B,$B168))</f>
        <v/>
      </c>
      <c r="M168" s="7" t="str">
        <f>IF($A168="","",SUMIFS(TikTok_Posts!E:E,TikTok_Posts!A:A,$A168,TikTok_Posts!B:B,$B168))</f>
        <v/>
      </c>
      <c r="N168" s="7" t="str">
        <f>IF($A168="","",COUNTIFS(Instagram_Posts!A:A,$A168,Instagram_Posts!B:B,$B168))</f>
        <v/>
      </c>
      <c r="O168" s="7" t="str">
        <f>IF($A168="","",SUMIFS(Instagram_Posts!E:E,Instagram_Posts!A:A,$A168,Instagram_Posts!B:B,$B168))</f>
        <v/>
      </c>
      <c r="P168" s="7" t="str">
        <f>IF($A168="","",SUMIFS(Blog!E:E,Blog!B:B,$A168,Blog!C:C,$B168))</f>
        <v/>
      </c>
      <c r="Q168" s="7" t="str">
        <f>IF($A168="","",COUNTIFS(LinkedIn_Posts!A:A,$A168,LinkedIn_Posts!B:B,$B168))</f>
        <v/>
      </c>
      <c r="R168" s="7" t="str">
        <f>IF($A168="","",SUMIFS(LinkedIn_Posts!F:F,LinkedIn_Posts!A:A,$A168,LinkedIn_Posts!B:B,$B168))</f>
        <v/>
      </c>
      <c r="S168" s="7" t="str">
        <f>IF($A168="","",SUMIFS(LinkedIn_Posts!G:G,LinkedIn_Posts!A:A,$A168,LinkedIn_Posts!B:B,$B168))</f>
        <v/>
      </c>
      <c r="T168" s="7" t="str">
        <f>IF($A168="","",SUMIFS(LinkedIn_Posts!H:H,LinkedIn_Posts!A:A,$A168,LinkedIn_Posts!B:B,$B168))</f>
        <v/>
      </c>
      <c r="U168" s="7" t="str">
        <f>IF($A168="","",SUMIFS(LinkedIn_Posts!I:I,LinkedIn_Posts!A:A,$A168,LinkedIn_Posts!B:B,$B168))</f>
        <v/>
      </c>
    </row>
    <row r="169">
      <c r="A169" s="7" t="s">
        <v>47</v>
      </c>
      <c r="B169" s="7" t="s">
        <v>47</v>
      </c>
      <c r="C169" s="7" t="s">
        <v>47</v>
      </c>
      <c r="D169" s="7" t="str">
        <f>IF($A169="","",SUMIFS(YouTube_Long!G:G,YouTube_Long!A:A,$A169,YouTube_Long!B:B,$B169))</f>
        <v/>
      </c>
      <c r="E169" s="7" t="str">
        <f>IF($A169="","",SUMIFS(YouTube_Long!H:H,YouTube_Long!A:A,$A169,YouTube_Long!B:B,$B169))</f>
        <v/>
      </c>
      <c r="F169" s="7" t="str">
        <f>IF($A169="","",SUMIFS(YouTube_Long!I:I,YouTube_Long!A:A,$A169,YouTube_Long!B:B,$B169))</f>
        <v/>
      </c>
      <c r="G169" s="7" t="str">
        <f>IF($A169="","",COUNTIFS(YouTube_Shorts!A:A,$A169,YouTube_Shorts!B:B,$B169))</f>
        <v/>
      </c>
      <c r="H169" s="7" t="str">
        <f>IF($A169="","",SUMIFS(YouTube_Shorts!F:F,YouTube_Shorts!A:A,$A169,YouTube_Shorts!B:B,$B169))</f>
        <v/>
      </c>
      <c r="I169" s="7" t="str">
        <f>IF($A169="","",SUMIFS(YouTube_Shorts!G:G,YouTube_Shorts!A:A,$A169,YouTube_Shorts!B:B,$B169))</f>
        <v/>
      </c>
      <c r="J169" s="7" t="str">
        <f t="shared" si="1"/>
        <v/>
      </c>
      <c r="K169" s="7" t="str">
        <f>IF($A169="","",SUMIFS(Audio!D:D,Audio!A:A,$A169,Audio!B:B,$B169))</f>
        <v/>
      </c>
      <c r="L169" s="7" t="str">
        <f>IF($A169="","",COUNTIFS(TikTok_Posts!A:A,$A169,TikTok_Posts!B:B,$B169))</f>
        <v/>
      </c>
      <c r="M169" s="7" t="str">
        <f>IF($A169="","",SUMIFS(TikTok_Posts!E:E,TikTok_Posts!A:A,$A169,TikTok_Posts!B:B,$B169))</f>
        <v/>
      </c>
      <c r="N169" s="7" t="str">
        <f>IF($A169="","",COUNTIFS(Instagram_Posts!A:A,$A169,Instagram_Posts!B:B,$B169))</f>
        <v/>
      </c>
      <c r="O169" s="7" t="str">
        <f>IF($A169="","",SUMIFS(Instagram_Posts!E:E,Instagram_Posts!A:A,$A169,Instagram_Posts!B:B,$B169))</f>
        <v/>
      </c>
      <c r="P169" s="7" t="str">
        <f>IF($A169="","",SUMIFS(Blog!E:E,Blog!B:B,$A169,Blog!C:C,$B169))</f>
        <v/>
      </c>
      <c r="Q169" s="7" t="str">
        <f>IF($A169="","",COUNTIFS(LinkedIn_Posts!A:A,$A169,LinkedIn_Posts!B:B,$B169))</f>
        <v/>
      </c>
      <c r="R169" s="7" t="str">
        <f>IF($A169="","",SUMIFS(LinkedIn_Posts!F:F,LinkedIn_Posts!A:A,$A169,LinkedIn_Posts!B:B,$B169))</f>
        <v/>
      </c>
      <c r="S169" s="7" t="str">
        <f>IF($A169="","",SUMIFS(LinkedIn_Posts!G:G,LinkedIn_Posts!A:A,$A169,LinkedIn_Posts!B:B,$B169))</f>
        <v/>
      </c>
      <c r="T169" s="7" t="str">
        <f>IF($A169="","",SUMIFS(LinkedIn_Posts!H:H,LinkedIn_Posts!A:A,$A169,LinkedIn_Posts!B:B,$B169))</f>
        <v/>
      </c>
      <c r="U169" s="7" t="str">
        <f>IF($A169="","",SUMIFS(LinkedIn_Posts!I:I,LinkedIn_Posts!A:A,$A169,LinkedIn_Posts!B:B,$B169))</f>
        <v/>
      </c>
    </row>
    <row r="170">
      <c r="A170" s="7" t="s">
        <v>47</v>
      </c>
      <c r="B170" s="7" t="s">
        <v>47</v>
      </c>
      <c r="C170" s="7" t="s">
        <v>47</v>
      </c>
      <c r="D170" s="7" t="str">
        <f>IF($A170="","",SUMIFS(YouTube_Long!G:G,YouTube_Long!A:A,$A170,YouTube_Long!B:B,$B170))</f>
        <v/>
      </c>
      <c r="E170" s="7" t="str">
        <f>IF($A170="","",SUMIFS(YouTube_Long!H:H,YouTube_Long!A:A,$A170,YouTube_Long!B:B,$B170))</f>
        <v/>
      </c>
      <c r="F170" s="7" t="str">
        <f>IF($A170="","",SUMIFS(YouTube_Long!I:I,YouTube_Long!A:A,$A170,YouTube_Long!B:B,$B170))</f>
        <v/>
      </c>
      <c r="G170" s="7" t="str">
        <f>IF($A170="","",COUNTIFS(YouTube_Shorts!A:A,$A170,YouTube_Shorts!B:B,$B170))</f>
        <v/>
      </c>
      <c r="H170" s="7" t="str">
        <f>IF($A170="","",SUMIFS(YouTube_Shorts!F:F,YouTube_Shorts!A:A,$A170,YouTube_Shorts!B:B,$B170))</f>
        <v/>
      </c>
      <c r="I170" s="7" t="str">
        <f>IF($A170="","",SUMIFS(YouTube_Shorts!G:G,YouTube_Shorts!A:A,$A170,YouTube_Shorts!B:B,$B170))</f>
        <v/>
      </c>
      <c r="J170" s="7" t="str">
        <f t="shared" si="1"/>
        <v/>
      </c>
      <c r="K170" s="7" t="str">
        <f>IF($A170="","",SUMIFS(Audio!D:D,Audio!A:A,$A170,Audio!B:B,$B170))</f>
        <v/>
      </c>
      <c r="L170" s="7" t="str">
        <f>IF($A170="","",COUNTIFS(TikTok_Posts!A:A,$A170,TikTok_Posts!B:B,$B170))</f>
        <v/>
      </c>
      <c r="M170" s="7" t="str">
        <f>IF($A170="","",SUMIFS(TikTok_Posts!E:E,TikTok_Posts!A:A,$A170,TikTok_Posts!B:B,$B170))</f>
        <v/>
      </c>
      <c r="N170" s="7" t="str">
        <f>IF($A170="","",COUNTIFS(Instagram_Posts!A:A,$A170,Instagram_Posts!B:B,$B170))</f>
        <v/>
      </c>
      <c r="O170" s="7" t="str">
        <f>IF($A170="","",SUMIFS(Instagram_Posts!E:E,Instagram_Posts!A:A,$A170,Instagram_Posts!B:B,$B170))</f>
        <v/>
      </c>
      <c r="P170" s="7" t="str">
        <f>IF($A170="","",SUMIFS(Blog!E:E,Blog!B:B,$A170,Blog!C:C,$B170))</f>
        <v/>
      </c>
      <c r="Q170" s="7" t="str">
        <f>IF($A170="","",COUNTIFS(LinkedIn_Posts!A:A,$A170,LinkedIn_Posts!B:B,$B170))</f>
        <v/>
      </c>
      <c r="R170" s="7" t="str">
        <f>IF($A170="","",SUMIFS(LinkedIn_Posts!F:F,LinkedIn_Posts!A:A,$A170,LinkedIn_Posts!B:B,$B170))</f>
        <v/>
      </c>
      <c r="S170" s="7" t="str">
        <f>IF($A170="","",SUMIFS(LinkedIn_Posts!G:G,LinkedIn_Posts!A:A,$A170,LinkedIn_Posts!B:B,$B170))</f>
        <v/>
      </c>
      <c r="T170" s="7" t="str">
        <f>IF($A170="","",SUMIFS(LinkedIn_Posts!H:H,LinkedIn_Posts!A:A,$A170,LinkedIn_Posts!B:B,$B170))</f>
        <v/>
      </c>
      <c r="U170" s="7" t="str">
        <f>IF($A170="","",SUMIFS(LinkedIn_Posts!I:I,LinkedIn_Posts!A:A,$A170,LinkedIn_Posts!B:B,$B170))</f>
        <v/>
      </c>
    </row>
    <row r="171">
      <c r="A171" s="7" t="s">
        <v>47</v>
      </c>
      <c r="B171" s="7" t="s">
        <v>47</v>
      </c>
      <c r="C171" s="7" t="s">
        <v>47</v>
      </c>
      <c r="D171" s="7" t="str">
        <f>IF($A171="","",SUMIFS(YouTube_Long!G:G,YouTube_Long!A:A,$A171,YouTube_Long!B:B,$B171))</f>
        <v/>
      </c>
      <c r="E171" s="7" t="str">
        <f>IF($A171="","",SUMIFS(YouTube_Long!H:H,YouTube_Long!A:A,$A171,YouTube_Long!B:B,$B171))</f>
        <v/>
      </c>
      <c r="F171" s="7" t="str">
        <f>IF($A171="","",SUMIFS(YouTube_Long!I:I,YouTube_Long!A:A,$A171,YouTube_Long!B:B,$B171))</f>
        <v/>
      </c>
      <c r="G171" s="7" t="str">
        <f>IF($A171="","",COUNTIFS(YouTube_Shorts!A:A,$A171,YouTube_Shorts!B:B,$B171))</f>
        <v/>
      </c>
      <c r="H171" s="7" t="str">
        <f>IF($A171="","",SUMIFS(YouTube_Shorts!F:F,YouTube_Shorts!A:A,$A171,YouTube_Shorts!B:B,$B171))</f>
        <v/>
      </c>
      <c r="I171" s="7" t="str">
        <f>IF($A171="","",SUMIFS(YouTube_Shorts!G:G,YouTube_Shorts!A:A,$A171,YouTube_Shorts!B:B,$B171))</f>
        <v/>
      </c>
      <c r="J171" s="7" t="str">
        <f t="shared" si="1"/>
        <v/>
      </c>
      <c r="K171" s="7" t="str">
        <f>IF($A171="","",SUMIFS(Audio!D:D,Audio!A:A,$A171,Audio!B:B,$B171))</f>
        <v/>
      </c>
      <c r="L171" s="7" t="str">
        <f>IF($A171="","",COUNTIFS(TikTok_Posts!A:A,$A171,TikTok_Posts!B:B,$B171))</f>
        <v/>
      </c>
      <c r="M171" s="7" t="str">
        <f>IF($A171="","",SUMIFS(TikTok_Posts!E:E,TikTok_Posts!A:A,$A171,TikTok_Posts!B:B,$B171))</f>
        <v/>
      </c>
      <c r="N171" s="7" t="str">
        <f>IF($A171="","",COUNTIFS(Instagram_Posts!A:A,$A171,Instagram_Posts!B:B,$B171))</f>
        <v/>
      </c>
      <c r="O171" s="7" t="str">
        <f>IF($A171="","",SUMIFS(Instagram_Posts!E:E,Instagram_Posts!A:A,$A171,Instagram_Posts!B:B,$B171))</f>
        <v/>
      </c>
      <c r="P171" s="7" t="str">
        <f>IF($A171="","",SUMIFS(Blog!E:E,Blog!B:B,$A171,Blog!C:C,$B171))</f>
        <v/>
      </c>
      <c r="Q171" s="7" t="str">
        <f>IF($A171="","",COUNTIFS(LinkedIn_Posts!A:A,$A171,LinkedIn_Posts!B:B,$B171))</f>
        <v/>
      </c>
      <c r="R171" s="7" t="str">
        <f>IF($A171="","",SUMIFS(LinkedIn_Posts!F:F,LinkedIn_Posts!A:A,$A171,LinkedIn_Posts!B:B,$B171))</f>
        <v/>
      </c>
      <c r="S171" s="7" t="str">
        <f>IF($A171="","",SUMIFS(LinkedIn_Posts!G:G,LinkedIn_Posts!A:A,$A171,LinkedIn_Posts!B:B,$B171))</f>
        <v/>
      </c>
      <c r="T171" s="7" t="str">
        <f>IF($A171="","",SUMIFS(LinkedIn_Posts!H:H,LinkedIn_Posts!A:A,$A171,LinkedIn_Posts!B:B,$B171))</f>
        <v/>
      </c>
      <c r="U171" s="7" t="str">
        <f>IF($A171="","",SUMIFS(LinkedIn_Posts!I:I,LinkedIn_Posts!A:A,$A171,LinkedIn_Posts!B:B,$B171))</f>
        <v/>
      </c>
    </row>
    <row r="172">
      <c r="A172" s="7" t="s">
        <v>47</v>
      </c>
      <c r="B172" s="7" t="s">
        <v>47</v>
      </c>
      <c r="C172" s="7" t="s">
        <v>47</v>
      </c>
      <c r="D172" s="7" t="str">
        <f>IF($A172="","",SUMIFS(YouTube_Long!G:G,YouTube_Long!A:A,$A172,YouTube_Long!B:B,$B172))</f>
        <v/>
      </c>
      <c r="E172" s="7" t="str">
        <f>IF($A172="","",SUMIFS(YouTube_Long!H:H,YouTube_Long!A:A,$A172,YouTube_Long!B:B,$B172))</f>
        <v/>
      </c>
      <c r="F172" s="7" t="str">
        <f>IF($A172="","",SUMIFS(YouTube_Long!I:I,YouTube_Long!A:A,$A172,YouTube_Long!B:B,$B172))</f>
        <v/>
      </c>
      <c r="G172" s="7" t="str">
        <f>IF($A172="","",COUNTIFS(YouTube_Shorts!A:A,$A172,YouTube_Shorts!B:B,$B172))</f>
        <v/>
      </c>
      <c r="H172" s="7" t="str">
        <f>IF($A172="","",SUMIFS(YouTube_Shorts!F:F,YouTube_Shorts!A:A,$A172,YouTube_Shorts!B:B,$B172))</f>
        <v/>
      </c>
      <c r="I172" s="7" t="str">
        <f>IF($A172="","",SUMIFS(YouTube_Shorts!G:G,YouTube_Shorts!A:A,$A172,YouTube_Shorts!B:B,$B172))</f>
        <v/>
      </c>
      <c r="J172" s="7" t="str">
        <f t="shared" si="1"/>
        <v/>
      </c>
      <c r="K172" s="7" t="str">
        <f>IF($A172="","",SUMIFS(Audio!D:D,Audio!A:A,$A172,Audio!B:B,$B172))</f>
        <v/>
      </c>
      <c r="L172" s="7" t="str">
        <f>IF($A172="","",COUNTIFS(TikTok_Posts!A:A,$A172,TikTok_Posts!B:B,$B172))</f>
        <v/>
      </c>
      <c r="M172" s="7" t="str">
        <f>IF($A172="","",SUMIFS(TikTok_Posts!E:E,TikTok_Posts!A:A,$A172,TikTok_Posts!B:B,$B172))</f>
        <v/>
      </c>
      <c r="N172" s="7" t="str">
        <f>IF($A172="","",COUNTIFS(Instagram_Posts!A:A,$A172,Instagram_Posts!B:B,$B172))</f>
        <v/>
      </c>
      <c r="O172" s="7" t="str">
        <f>IF($A172="","",SUMIFS(Instagram_Posts!E:E,Instagram_Posts!A:A,$A172,Instagram_Posts!B:B,$B172))</f>
        <v/>
      </c>
      <c r="P172" s="7" t="str">
        <f>IF($A172="","",SUMIFS(Blog!E:E,Blog!B:B,$A172,Blog!C:C,$B172))</f>
        <v/>
      </c>
      <c r="Q172" s="7" t="str">
        <f>IF($A172="","",COUNTIFS(LinkedIn_Posts!A:A,$A172,LinkedIn_Posts!B:B,$B172))</f>
        <v/>
      </c>
      <c r="R172" s="7" t="str">
        <f>IF($A172="","",SUMIFS(LinkedIn_Posts!F:F,LinkedIn_Posts!A:A,$A172,LinkedIn_Posts!B:B,$B172))</f>
        <v/>
      </c>
      <c r="S172" s="7" t="str">
        <f>IF($A172="","",SUMIFS(LinkedIn_Posts!G:G,LinkedIn_Posts!A:A,$A172,LinkedIn_Posts!B:B,$B172))</f>
        <v/>
      </c>
      <c r="T172" s="7" t="str">
        <f>IF($A172="","",SUMIFS(LinkedIn_Posts!H:H,LinkedIn_Posts!A:A,$A172,LinkedIn_Posts!B:B,$B172))</f>
        <v/>
      </c>
      <c r="U172" s="7" t="str">
        <f>IF($A172="","",SUMIFS(LinkedIn_Posts!I:I,LinkedIn_Posts!A:A,$A172,LinkedIn_Posts!B:B,$B172))</f>
        <v/>
      </c>
    </row>
    <row r="173">
      <c r="A173" s="7" t="s">
        <v>47</v>
      </c>
      <c r="B173" s="7" t="s">
        <v>47</v>
      </c>
      <c r="C173" s="7" t="s">
        <v>47</v>
      </c>
      <c r="D173" s="7" t="str">
        <f>IF($A173="","",SUMIFS(YouTube_Long!G:G,YouTube_Long!A:A,$A173,YouTube_Long!B:B,$B173))</f>
        <v/>
      </c>
      <c r="E173" s="7" t="str">
        <f>IF($A173="","",SUMIFS(YouTube_Long!H:H,YouTube_Long!A:A,$A173,YouTube_Long!B:B,$B173))</f>
        <v/>
      </c>
      <c r="F173" s="7" t="str">
        <f>IF($A173="","",SUMIFS(YouTube_Long!I:I,YouTube_Long!A:A,$A173,YouTube_Long!B:B,$B173))</f>
        <v/>
      </c>
      <c r="G173" s="7" t="str">
        <f>IF($A173="","",COUNTIFS(YouTube_Shorts!A:A,$A173,YouTube_Shorts!B:B,$B173))</f>
        <v/>
      </c>
      <c r="H173" s="7" t="str">
        <f>IF($A173="","",SUMIFS(YouTube_Shorts!F:F,YouTube_Shorts!A:A,$A173,YouTube_Shorts!B:B,$B173))</f>
        <v/>
      </c>
      <c r="I173" s="7" t="str">
        <f>IF($A173="","",SUMIFS(YouTube_Shorts!G:G,YouTube_Shorts!A:A,$A173,YouTube_Shorts!B:B,$B173))</f>
        <v/>
      </c>
      <c r="J173" s="7" t="str">
        <f t="shared" si="1"/>
        <v/>
      </c>
      <c r="K173" s="7" t="str">
        <f>IF($A173="","",SUMIFS(Audio!D:D,Audio!A:A,$A173,Audio!B:B,$B173))</f>
        <v/>
      </c>
      <c r="L173" s="7" t="str">
        <f>IF($A173="","",COUNTIFS(TikTok_Posts!A:A,$A173,TikTok_Posts!B:B,$B173))</f>
        <v/>
      </c>
      <c r="M173" s="7" t="str">
        <f>IF($A173="","",SUMIFS(TikTok_Posts!E:E,TikTok_Posts!A:A,$A173,TikTok_Posts!B:B,$B173))</f>
        <v/>
      </c>
      <c r="N173" s="7" t="str">
        <f>IF($A173="","",COUNTIFS(Instagram_Posts!A:A,$A173,Instagram_Posts!B:B,$B173))</f>
        <v/>
      </c>
      <c r="O173" s="7" t="str">
        <f>IF($A173="","",SUMIFS(Instagram_Posts!E:E,Instagram_Posts!A:A,$A173,Instagram_Posts!B:B,$B173))</f>
        <v/>
      </c>
      <c r="P173" s="7" t="str">
        <f>IF($A173="","",SUMIFS(Blog!E:E,Blog!B:B,$A173,Blog!C:C,$B173))</f>
        <v/>
      </c>
      <c r="Q173" s="7" t="str">
        <f>IF($A173="","",COUNTIFS(LinkedIn_Posts!A:A,$A173,LinkedIn_Posts!B:B,$B173))</f>
        <v/>
      </c>
      <c r="R173" s="7" t="str">
        <f>IF($A173="","",SUMIFS(LinkedIn_Posts!F:F,LinkedIn_Posts!A:A,$A173,LinkedIn_Posts!B:B,$B173))</f>
        <v/>
      </c>
      <c r="S173" s="7" t="str">
        <f>IF($A173="","",SUMIFS(LinkedIn_Posts!G:G,LinkedIn_Posts!A:A,$A173,LinkedIn_Posts!B:B,$B173))</f>
        <v/>
      </c>
      <c r="T173" s="7" t="str">
        <f>IF($A173="","",SUMIFS(LinkedIn_Posts!H:H,LinkedIn_Posts!A:A,$A173,LinkedIn_Posts!B:B,$B173))</f>
        <v/>
      </c>
      <c r="U173" s="7" t="str">
        <f>IF($A173="","",SUMIFS(LinkedIn_Posts!I:I,LinkedIn_Posts!A:A,$A173,LinkedIn_Posts!B:B,$B173))</f>
        <v/>
      </c>
    </row>
    <row r="174">
      <c r="A174" s="7" t="s">
        <v>47</v>
      </c>
      <c r="B174" s="7" t="s">
        <v>47</v>
      </c>
      <c r="C174" s="7" t="s">
        <v>47</v>
      </c>
      <c r="D174" s="7" t="str">
        <f>IF($A174="","",SUMIFS(YouTube_Long!G:G,YouTube_Long!A:A,$A174,YouTube_Long!B:B,$B174))</f>
        <v/>
      </c>
      <c r="E174" s="7" t="str">
        <f>IF($A174="","",SUMIFS(YouTube_Long!H:H,YouTube_Long!A:A,$A174,YouTube_Long!B:B,$B174))</f>
        <v/>
      </c>
      <c r="F174" s="7" t="str">
        <f>IF($A174="","",SUMIFS(YouTube_Long!I:I,YouTube_Long!A:A,$A174,YouTube_Long!B:B,$B174))</f>
        <v/>
      </c>
      <c r="G174" s="7" t="str">
        <f>IF($A174="","",COUNTIFS(YouTube_Shorts!A:A,$A174,YouTube_Shorts!B:B,$B174))</f>
        <v/>
      </c>
      <c r="H174" s="7" t="str">
        <f>IF($A174="","",SUMIFS(YouTube_Shorts!F:F,YouTube_Shorts!A:A,$A174,YouTube_Shorts!B:B,$B174))</f>
        <v/>
      </c>
      <c r="I174" s="7" t="str">
        <f>IF($A174="","",SUMIFS(YouTube_Shorts!G:G,YouTube_Shorts!A:A,$A174,YouTube_Shorts!B:B,$B174))</f>
        <v/>
      </c>
      <c r="J174" s="7" t="str">
        <f t="shared" si="1"/>
        <v/>
      </c>
      <c r="K174" s="7" t="str">
        <f>IF($A174="","",SUMIFS(Audio!D:D,Audio!A:A,$A174,Audio!B:B,$B174))</f>
        <v/>
      </c>
      <c r="L174" s="7" t="str">
        <f>IF($A174="","",COUNTIFS(TikTok_Posts!A:A,$A174,TikTok_Posts!B:B,$B174))</f>
        <v/>
      </c>
      <c r="M174" s="7" t="str">
        <f>IF($A174="","",SUMIFS(TikTok_Posts!E:E,TikTok_Posts!A:A,$A174,TikTok_Posts!B:B,$B174))</f>
        <v/>
      </c>
      <c r="N174" s="7" t="str">
        <f>IF($A174="","",COUNTIFS(Instagram_Posts!A:A,$A174,Instagram_Posts!B:B,$B174))</f>
        <v/>
      </c>
      <c r="O174" s="7" t="str">
        <f>IF($A174="","",SUMIFS(Instagram_Posts!E:E,Instagram_Posts!A:A,$A174,Instagram_Posts!B:B,$B174))</f>
        <v/>
      </c>
      <c r="P174" s="7" t="str">
        <f>IF($A174="","",SUMIFS(Blog!E:E,Blog!B:B,$A174,Blog!C:C,$B174))</f>
        <v/>
      </c>
      <c r="Q174" s="7" t="str">
        <f>IF($A174="","",COUNTIFS(LinkedIn_Posts!A:A,$A174,LinkedIn_Posts!B:B,$B174))</f>
        <v/>
      </c>
      <c r="R174" s="7" t="str">
        <f>IF($A174="","",SUMIFS(LinkedIn_Posts!F:F,LinkedIn_Posts!A:A,$A174,LinkedIn_Posts!B:B,$B174))</f>
        <v/>
      </c>
      <c r="S174" s="7" t="str">
        <f>IF($A174="","",SUMIFS(LinkedIn_Posts!G:G,LinkedIn_Posts!A:A,$A174,LinkedIn_Posts!B:B,$B174))</f>
        <v/>
      </c>
      <c r="T174" s="7" t="str">
        <f>IF($A174="","",SUMIFS(LinkedIn_Posts!H:H,LinkedIn_Posts!A:A,$A174,LinkedIn_Posts!B:B,$B174))</f>
        <v/>
      </c>
      <c r="U174" s="7" t="str">
        <f>IF($A174="","",SUMIFS(LinkedIn_Posts!I:I,LinkedIn_Posts!A:A,$A174,LinkedIn_Posts!B:B,$B174))</f>
        <v/>
      </c>
    </row>
    <row r="175">
      <c r="A175" s="7" t="s">
        <v>47</v>
      </c>
      <c r="B175" s="7" t="s">
        <v>47</v>
      </c>
      <c r="C175" s="7" t="s">
        <v>47</v>
      </c>
      <c r="D175" s="7" t="str">
        <f>IF($A175="","",SUMIFS(YouTube_Long!G:G,YouTube_Long!A:A,$A175,YouTube_Long!B:B,$B175))</f>
        <v/>
      </c>
      <c r="E175" s="7" t="str">
        <f>IF($A175="","",SUMIFS(YouTube_Long!H:H,YouTube_Long!A:A,$A175,YouTube_Long!B:B,$B175))</f>
        <v/>
      </c>
      <c r="F175" s="7" t="str">
        <f>IF($A175="","",SUMIFS(YouTube_Long!I:I,YouTube_Long!A:A,$A175,YouTube_Long!B:B,$B175))</f>
        <v/>
      </c>
      <c r="G175" s="7" t="str">
        <f>IF($A175="","",COUNTIFS(YouTube_Shorts!A:A,$A175,YouTube_Shorts!B:B,$B175))</f>
        <v/>
      </c>
      <c r="H175" s="7" t="str">
        <f>IF($A175="","",SUMIFS(YouTube_Shorts!F:F,YouTube_Shorts!A:A,$A175,YouTube_Shorts!B:B,$B175))</f>
        <v/>
      </c>
      <c r="I175" s="7" t="str">
        <f>IF($A175="","",SUMIFS(YouTube_Shorts!G:G,YouTube_Shorts!A:A,$A175,YouTube_Shorts!B:B,$B175))</f>
        <v/>
      </c>
      <c r="J175" s="7" t="str">
        <f t="shared" si="1"/>
        <v/>
      </c>
      <c r="K175" s="7" t="str">
        <f>IF($A175="","",SUMIFS(Audio!D:D,Audio!A:A,$A175,Audio!B:B,$B175))</f>
        <v/>
      </c>
      <c r="L175" s="7" t="str">
        <f>IF($A175="","",COUNTIFS(TikTok_Posts!A:A,$A175,TikTok_Posts!B:B,$B175))</f>
        <v/>
      </c>
      <c r="M175" s="7" t="str">
        <f>IF($A175="","",SUMIFS(TikTok_Posts!E:E,TikTok_Posts!A:A,$A175,TikTok_Posts!B:B,$B175))</f>
        <v/>
      </c>
      <c r="N175" s="7" t="str">
        <f>IF($A175="","",COUNTIFS(Instagram_Posts!A:A,$A175,Instagram_Posts!B:B,$B175))</f>
        <v/>
      </c>
      <c r="O175" s="7" t="str">
        <f>IF($A175="","",SUMIFS(Instagram_Posts!E:E,Instagram_Posts!A:A,$A175,Instagram_Posts!B:B,$B175))</f>
        <v/>
      </c>
      <c r="P175" s="7" t="str">
        <f>IF($A175="","",SUMIFS(Blog!E:E,Blog!B:B,$A175,Blog!C:C,$B175))</f>
        <v/>
      </c>
      <c r="Q175" s="7" t="str">
        <f>IF($A175="","",COUNTIFS(LinkedIn_Posts!A:A,$A175,LinkedIn_Posts!B:B,$B175))</f>
        <v/>
      </c>
      <c r="R175" s="7" t="str">
        <f>IF($A175="","",SUMIFS(LinkedIn_Posts!F:F,LinkedIn_Posts!A:A,$A175,LinkedIn_Posts!B:B,$B175))</f>
        <v/>
      </c>
      <c r="S175" s="7" t="str">
        <f>IF($A175="","",SUMIFS(LinkedIn_Posts!G:G,LinkedIn_Posts!A:A,$A175,LinkedIn_Posts!B:B,$B175))</f>
        <v/>
      </c>
      <c r="T175" s="7" t="str">
        <f>IF($A175="","",SUMIFS(LinkedIn_Posts!H:H,LinkedIn_Posts!A:A,$A175,LinkedIn_Posts!B:B,$B175))</f>
        <v/>
      </c>
      <c r="U175" s="7" t="str">
        <f>IF($A175="","",SUMIFS(LinkedIn_Posts!I:I,LinkedIn_Posts!A:A,$A175,LinkedIn_Posts!B:B,$B175))</f>
        <v/>
      </c>
    </row>
    <row r="176">
      <c r="A176" s="7" t="s">
        <v>47</v>
      </c>
      <c r="B176" s="7" t="s">
        <v>47</v>
      </c>
      <c r="C176" s="7" t="s">
        <v>47</v>
      </c>
      <c r="D176" s="7" t="str">
        <f>IF($A176="","",SUMIFS(YouTube_Long!G:G,YouTube_Long!A:A,$A176,YouTube_Long!B:B,$B176))</f>
        <v/>
      </c>
      <c r="E176" s="7" t="str">
        <f>IF($A176="","",SUMIFS(YouTube_Long!H:H,YouTube_Long!A:A,$A176,YouTube_Long!B:B,$B176))</f>
        <v/>
      </c>
      <c r="F176" s="7" t="str">
        <f>IF($A176="","",SUMIFS(YouTube_Long!I:I,YouTube_Long!A:A,$A176,YouTube_Long!B:B,$B176))</f>
        <v/>
      </c>
      <c r="G176" s="7" t="str">
        <f>IF($A176="","",COUNTIFS(YouTube_Shorts!A:A,$A176,YouTube_Shorts!B:B,$B176))</f>
        <v/>
      </c>
      <c r="H176" s="7" t="str">
        <f>IF($A176="","",SUMIFS(YouTube_Shorts!F:F,YouTube_Shorts!A:A,$A176,YouTube_Shorts!B:B,$B176))</f>
        <v/>
      </c>
      <c r="I176" s="7" t="str">
        <f>IF($A176="","",SUMIFS(YouTube_Shorts!G:G,YouTube_Shorts!A:A,$A176,YouTube_Shorts!B:B,$B176))</f>
        <v/>
      </c>
      <c r="J176" s="7" t="str">
        <f t="shared" si="1"/>
        <v/>
      </c>
      <c r="K176" s="7" t="str">
        <f>IF($A176="","",SUMIFS(Audio!D:D,Audio!A:A,$A176,Audio!B:B,$B176))</f>
        <v/>
      </c>
      <c r="L176" s="7" t="str">
        <f>IF($A176="","",COUNTIFS(TikTok_Posts!A:A,$A176,TikTok_Posts!B:B,$B176))</f>
        <v/>
      </c>
      <c r="M176" s="7" t="str">
        <f>IF($A176="","",SUMIFS(TikTok_Posts!E:E,TikTok_Posts!A:A,$A176,TikTok_Posts!B:B,$B176))</f>
        <v/>
      </c>
      <c r="N176" s="7" t="str">
        <f>IF($A176="","",COUNTIFS(Instagram_Posts!A:A,$A176,Instagram_Posts!B:B,$B176))</f>
        <v/>
      </c>
      <c r="O176" s="7" t="str">
        <f>IF($A176="","",SUMIFS(Instagram_Posts!E:E,Instagram_Posts!A:A,$A176,Instagram_Posts!B:B,$B176))</f>
        <v/>
      </c>
      <c r="P176" s="7" t="str">
        <f>IF($A176="","",SUMIFS(Blog!E:E,Blog!B:B,$A176,Blog!C:C,$B176))</f>
        <v/>
      </c>
      <c r="Q176" s="7" t="str">
        <f>IF($A176="","",COUNTIFS(LinkedIn_Posts!A:A,$A176,LinkedIn_Posts!B:B,$B176))</f>
        <v/>
      </c>
      <c r="R176" s="7" t="str">
        <f>IF($A176="","",SUMIFS(LinkedIn_Posts!F:F,LinkedIn_Posts!A:A,$A176,LinkedIn_Posts!B:B,$B176))</f>
        <v/>
      </c>
      <c r="S176" s="7" t="str">
        <f>IF($A176="","",SUMIFS(LinkedIn_Posts!G:G,LinkedIn_Posts!A:A,$A176,LinkedIn_Posts!B:B,$B176))</f>
        <v/>
      </c>
      <c r="T176" s="7" t="str">
        <f>IF($A176="","",SUMIFS(LinkedIn_Posts!H:H,LinkedIn_Posts!A:A,$A176,LinkedIn_Posts!B:B,$B176))</f>
        <v/>
      </c>
      <c r="U176" s="7" t="str">
        <f>IF($A176="","",SUMIFS(LinkedIn_Posts!I:I,LinkedIn_Posts!A:A,$A176,LinkedIn_Posts!B:B,$B176))</f>
        <v/>
      </c>
    </row>
    <row r="177">
      <c r="A177" s="7" t="s">
        <v>47</v>
      </c>
      <c r="B177" s="7" t="s">
        <v>47</v>
      </c>
      <c r="C177" s="7" t="s">
        <v>47</v>
      </c>
      <c r="D177" s="7" t="str">
        <f>IF($A177="","",SUMIFS(YouTube_Long!G:G,YouTube_Long!A:A,$A177,YouTube_Long!B:B,$B177))</f>
        <v/>
      </c>
      <c r="E177" s="7" t="str">
        <f>IF($A177="","",SUMIFS(YouTube_Long!H:H,YouTube_Long!A:A,$A177,YouTube_Long!B:B,$B177))</f>
        <v/>
      </c>
      <c r="F177" s="7" t="str">
        <f>IF($A177="","",SUMIFS(YouTube_Long!I:I,YouTube_Long!A:A,$A177,YouTube_Long!B:B,$B177))</f>
        <v/>
      </c>
      <c r="G177" s="7" t="str">
        <f>IF($A177="","",COUNTIFS(YouTube_Shorts!A:A,$A177,YouTube_Shorts!B:B,$B177))</f>
        <v/>
      </c>
      <c r="H177" s="7" t="str">
        <f>IF($A177="","",SUMIFS(YouTube_Shorts!F:F,YouTube_Shorts!A:A,$A177,YouTube_Shorts!B:B,$B177))</f>
        <v/>
      </c>
      <c r="I177" s="7" t="str">
        <f>IF($A177="","",SUMIFS(YouTube_Shorts!G:G,YouTube_Shorts!A:A,$A177,YouTube_Shorts!B:B,$B177))</f>
        <v/>
      </c>
      <c r="J177" s="7" t="str">
        <f t="shared" si="1"/>
        <v/>
      </c>
      <c r="K177" s="7" t="str">
        <f>IF($A177="","",SUMIFS(Audio!D:D,Audio!A:A,$A177,Audio!B:B,$B177))</f>
        <v/>
      </c>
      <c r="L177" s="7" t="str">
        <f>IF($A177="","",COUNTIFS(TikTok_Posts!A:A,$A177,TikTok_Posts!B:B,$B177))</f>
        <v/>
      </c>
      <c r="M177" s="7" t="str">
        <f>IF($A177="","",SUMIFS(TikTok_Posts!E:E,TikTok_Posts!A:A,$A177,TikTok_Posts!B:B,$B177))</f>
        <v/>
      </c>
      <c r="N177" s="7" t="str">
        <f>IF($A177="","",COUNTIFS(Instagram_Posts!A:A,$A177,Instagram_Posts!B:B,$B177))</f>
        <v/>
      </c>
      <c r="O177" s="7" t="str">
        <f>IF($A177="","",SUMIFS(Instagram_Posts!E:E,Instagram_Posts!A:A,$A177,Instagram_Posts!B:B,$B177))</f>
        <v/>
      </c>
      <c r="P177" s="7" t="str">
        <f>IF($A177="","",SUMIFS(Blog!E:E,Blog!B:B,$A177,Blog!C:C,$B177))</f>
        <v/>
      </c>
      <c r="Q177" s="7" t="str">
        <f>IF($A177="","",COUNTIFS(LinkedIn_Posts!A:A,$A177,LinkedIn_Posts!B:B,$B177))</f>
        <v/>
      </c>
      <c r="R177" s="7" t="str">
        <f>IF($A177="","",SUMIFS(LinkedIn_Posts!F:F,LinkedIn_Posts!A:A,$A177,LinkedIn_Posts!B:B,$B177))</f>
        <v/>
      </c>
      <c r="S177" s="7" t="str">
        <f>IF($A177="","",SUMIFS(LinkedIn_Posts!G:G,LinkedIn_Posts!A:A,$A177,LinkedIn_Posts!B:B,$B177))</f>
        <v/>
      </c>
      <c r="T177" s="7" t="str">
        <f>IF($A177="","",SUMIFS(LinkedIn_Posts!H:H,LinkedIn_Posts!A:A,$A177,LinkedIn_Posts!B:B,$B177))</f>
        <v/>
      </c>
      <c r="U177" s="7" t="str">
        <f>IF($A177="","",SUMIFS(LinkedIn_Posts!I:I,LinkedIn_Posts!A:A,$A177,LinkedIn_Posts!B:B,$B177))</f>
        <v/>
      </c>
    </row>
    <row r="178">
      <c r="A178" s="7" t="s">
        <v>47</v>
      </c>
      <c r="B178" s="7" t="s">
        <v>47</v>
      </c>
      <c r="C178" s="7" t="s">
        <v>47</v>
      </c>
      <c r="D178" s="7" t="str">
        <f>IF($A178="","",SUMIFS(YouTube_Long!G:G,YouTube_Long!A:A,$A178,YouTube_Long!B:B,$B178))</f>
        <v/>
      </c>
      <c r="E178" s="7" t="str">
        <f>IF($A178="","",SUMIFS(YouTube_Long!H:H,YouTube_Long!A:A,$A178,YouTube_Long!B:B,$B178))</f>
        <v/>
      </c>
      <c r="F178" s="7" t="str">
        <f>IF($A178="","",SUMIFS(YouTube_Long!I:I,YouTube_Long!A:A,$A178,YouTube_Long!B:B,$B178))</f>
        <v/>
      </c>
      <c r="G178" s="7" t="str">
        <f>IF($A178="","",COUNTIFS(YouTube_Shorts!A:A,$A178,YouTube_Shorts!B:B,$B178))</f>
        <v/>
      </c>
      <c r="H178" s="7" t="str">
        <f>IF($A178="","",SUMIFS(YouTube_Shorts!F:F,YouTube_Shorts!A:A,$A178,YouTube_Shorts!B:B,$B178))</f>
        <v/>
      </c>
      <c r="I178" s="7" t="str">
        <f>IF($A178="","",SUMIFS(YouTube_Shorts!G:G,YouTube_Shorts!A:A,$A178,YouTube_Shorts!B:B,$B178))</f>
        <v/>
      </c>
      <c r="J178" s="7" t="str">
        <f t="shared" si="1"/>
        <v/>
      </c>
      <c r="K178" s="7" t="str">
        <f>IF($A178="","",SUMIFS(Audio!D:D,Audio!A:A,$A178,Audio!B:B,$B178))</f>
        <v/>
      </c>
      <c r="L178" s="7" t="str">
        <f>IF($A178="","",COUNTIFS(TikTok_Posts!A:A,$A178,TikTok_Posts!B:B,$B178))</f>
        <v/>
      </c>
      <c r="M178" s="7" t="str">
        <f>IF($A178="","",SUMIFS(TikTok_Posts!E:E,TikTok_Posts!A:A,$A178,TikTok_Posts!B:B,$B178))</f>
        <v/>
      </c>
      <c r="N178" s="7" t="str">
        <f>IF($A178="","",COUNTIFS(Instagram_Posts!A:A,$A178,Instagram_Posts!B:B,$B178))</f>
        <v/>
      </c>
      <c r="O178" s="7" t="str">
        <f>IF($A178="","",SUMIFS(Instagram_Posts!E:E,Instagram_Posts!A:A,$A178,Instagram_Posts!B:B,$B178))</f>
        <v/>
      </c>
      <c r="P178" s="7" t="str">
        <f>IF($A178="","",SUMIFS(Blog!E:E,Blog!B:B,$A178,Blog!C:C,$B178))</f>
        <v/>
      </c>
      <c r="Q178" s="7" t="str">
        <f>IF($A178="","",COUNTIFS(LinkedIn_Posts!A:A,$A178,LinkedIn_Posts!B:B,$B178))</f>
        <v/>
      </c>
      <c r="R178" s="7" t="str">
        <f>IF($A178="","",SUMIFS(LinkedIn_Posts!F:F,LinkedIn_Posts!A:A,$A178,LinkedIn_Posts!B:B,$B178))</f>
        <v/>
      </c>
      <c r="S178" s="7" t="str">
        <f>IF($A178="","",SUMIFS(LinkedIn_Posts!G:G,LinkedIn_Posts!A:A,$A178,LinkedIn_Posts!B:B,$B178))</f>
        <v/>
      </c>
      <c r="T178" s="7" t="str">
        <f>IF($A178="","",SUMIFS(LinkedIn_Posts!H:H,LinkedIn_Posts!A:A,$A178,LinkedIn_Posts!B:B,$B178))</f>
        <v/>
      </c>
      <c r="U178" s="7" t="str">
        <f>IF($A178="","",SUMIFS(LinkedIn_Posts!I:I,LinkedIn_Posts!A:A,$A178,LinkedIn_Posts!B:B,$B178))</f>
        <v/>
      </c>
    </row>
    <row r="179">
      <c r="A179" s="7" t="s">
        <v>47</v>
      </c>
      <c r="B179" s="7" t="s">
        <v>47</v>
      </c>
      <c r="C179" s="7" t="s">
        <v>47</v>
      </c>
      <c r="D179" s="7" t="str">
        <f>IF($A179="","",SUMIFS(YouTube_Long!G:G,YouTube_Long!A:A,$A179,YouTube_Long!B:B,$B179))</f>
        <v/>
      </c>
      <c r="E179" s="7" t="str">
        <f>IF($A179="","",SUMIFS(YouTube_Long!H:H,YouTube_Long!A:A,$A179,YouTube_Long!B:B,$B179))</f>
        <v/>
      </c>
      <c r="F179" s="7" t="str">
        <f>IF($A179="","",SUMIFS(YouTube_Long!I:I,YouTube_Long!A:A,$A179,YouTube_Long!B:B,$B179))</f>
        <v/>
      </c>
      <c r="G179" s="7" t="str">
        <f>IF($A179="","",COUNTIFS(YouTube_Shorts!A:A,$A179,YouTube_Shorts!B:B,$B179))</f>
        <v/>
      </c>
      <c r="H179" s="7" t="str">
        <f>IF($A179="","",SUMIFS(YouTube_Shorts!F:F,YouTube_Shorts!A:A,$A179,YouTube_Shorts!B:B,$B179))</f>
        <v/>
      </c>
      <c r="I179" s="7" t="str">
        <f>IF($A179="","",SUMIFS(YouTube_Shorts!G:G,YouTube_Shorts!A:A,$A179,YouTube_Shorts!B:B,$B179))</f>
        <v/>
      </c>
      <c r="J179" s="7" t="str">
        <f t="shared" si="1"/>
        <v/>
      </c>
      <c r="K179" s="7" t="str">
        <f>IF($A179="","",SUMIFS(Audio!D:D,Audio!A:A,$A179,Audio!B:B,$B179))</f>
        <v/>
      </c>
      <c r="L179" s="7" t="str">
        <f>IF($A179="","",COUNTIFS(TikTok_Posts!A:A,$A179,TikTok_Posts!B:B,$B179))</f>
        <v/>
      </c>
      <c r="M179" s="7" t="str">
        <f>IF($A179="","",SUMIFS(TikTok_Posts!E:E,TikTok_Posts!A:A,$A179,TikTok_Posts!B:B,$B179))</f>
        <v/>
      </c>
      <c r="N179" s="7" t="str">
        <f>IF($A179="","",COUNTIFS(Instagram_Posts!A:A,$A179,Instagram_Posts!B:B,$B179))</f>
        <v/>
      </c>
      <c r="O179" s="7" t="str">
        <f>IF($A179="","",SUMIFS(Instagram_Posts!E:E,Instagram_Posts!A:A,$A179,Instagram_Posts!B:B,$B179))</f>
        <v/>
      </c>
      <c r="P179" s="7" t="str">
        <f>IF($A179="","",SUMIFS(Blog!E:E,Blog!B:B,$A179,Blog!C:C,$B179))</f>
        <v/>
      </c>
      <c r="Q179" s="7" t="str">
        <f>IF($A179="","",COUNTIFS(LinkedIn_Posts!A:A,$A179,LinkedIn_Posts!B:B,$B179))</f>
        <v/>
      </c>
      <c r="R179" s="7" t="str">
        <f>IF($A179="","",SUMIFS(LinkedIn_Posts!F:F,LinkedIn_Posts!A:A,$A179,LinkedIn_Posts!B:B,$B179))</f>
        <v/>
      </c>
      <c r="S179" s="7" t="str">
        <f>IF($A179="","",SUMIFS(LinkedIn_Posts!G:G,LinkedIn_Posts!A:A,$A179,LinkedIn_Posts!B:B,$B179))</f>
        <v/>
      </c>
      <c r="T179" s="7" t="str">
        <f>IF($A179="","",SUMIFS(LinkedIn_Posts!H:H,LinkedIn_Posts!A:A,$A179,LinkedIn_Posts!B:B,$B179))</f>
        <v/>
      </c>
      <c r="U179" s="7" t="str">
        <f>IF($A179="","",SUMIFS(LinkedIn_Posts!I:I,LinkedIn_Posts!A:A,$A179,LinkedIn_Posts!B:B,$B179))</f>
        <v/>
      </c>
    </row>
    <row r="180">
      <c r="A180" s="7" t="s">
        <v>47</v>
      </c>
      <c r="B180" s="7" t="s">
        <v>47</v>
      </c>
      <c r="C180" s="7" t="s">
        <v>47</v>
      </c>
      <c r="D180" s="7" t="str">
        <f>IF($A180="","",SUMIFS(YouTube_Long!G:G,YouTube_Long!A:A,$A180,YouTube_Long!B:B,$B180))</f>
        <v/>
      </c>
      <c r="E180" s="7" t="str">
        <f>IF($A180="","",SUMIFS(YouTube_Long!H:H,YouTube_Long!A:A,$A180,YouTube_Long!B:B,$B180))</f>
        <v/>
      </c>
      <c r="F180" s="7" t="str">
        <f>IF($A180="","",SUMIFS(YouTube_Long!I:I,YouTube_Long!A:A,$A180,YouTube_Long!B:B,$B180))</f>
        <v/>
      </c>
      <c r="G180" s="7" t="str">
        <f>IF($A180="","",COUNTIFS(YouTube_Shorts!A:A,$A180,YouTube_Shorts!B:B,$B180))</f>
        <v/>
      </c>
      <c r="H180" s="7" t="str">
        <f>IF($A180="","",SUMIFS(YouTube_Shorts!F:F,YouTube_Shorts!A:A,$A180,YouTube_Shorts!B:B,$B180))</f>
        <v/>
      </c>
      <c r="I180" s="7" t="str">
        <f>IF($A180="","",SUMIFS(YouTube_Shorts!G:G,YouTube_Shorts!A:A,$A180,YouTube_Shorts!B:B,$B180))</f>
        <v/>
      </c>
      <c r="J180" s="7" t="str">
        <f t="shared" si="1"/>
        <v/>
      </c>
      <c r="K180" s="7" t="str">
        <f>IF($A180="","",SUMIFS(Audio!D:D,Audio!A:A,$A180,Audio!B:B,$B180))</f>
        <v/>
      </c>
      <c r="L180" s="7" t="str">
        <f>IF($A180="","",COUNTIFS(TikTok_Posts!A:A,$A180,TikTok_Posts!B:B,$B180))</f>
        <v/>
      </c>
      <c r="M180" s="7" t="str">
        <f>IF($A180="","",SUMIFS(TikTok_Posts!E:E,TikTok_Posts!A:A,$A180,TikTok_Posts!B:B,$B180))</f>
        <v/>
      </c>
      <c r="N180" s="7" t="str">
        <f>IF($A180="","",COUNTIFS(Instagram_Posts!A:A,$A180,Instagram_Posts!B:B,$B180))</f>
        <v/>
      </c>
      <c r="O180" s="7" t="str">
        <f>IF($A180="","",SUMIFS(Instagram_Posts!E:E,Instagram_Posts!A:A,$A180,Instagram_Posts!B:B,$B180))</f>
        <v/>
      </c>
      <c r="P180" s="7" t="str">
        <f>IF($A180="","",SUMIFS(Blog!E:E,Blog!B:B,$A180,Blog!C:C,$B180))</f>
        <v/>
      </c>
      <c r="Q180" s="7" t="str">
        <f>IF($A180="","",COUNTIFS(LinkedIn_Posts!A:A,$A180,LinkedIn_Posts!B:B,$B180))</f>
        <v/>
      </c>
      <c r="R180" s="7" t="str">
        <f>IF($A180="","",SUMIFS(LinkedIn_Posts!F:F,LinkedIn_Posts!A:A,$A180,LinkedIn_Posts!B:B,$B180))</f>
        <v/>
      </c>
      <c r="S180" s="7" t="str">
        <f>IF($A180="","",SUMIFS(LinkedIn_Posts!G:G,LinkedIn_Posts!A:A,$A180,LinkedIn_Posts!B:B,$B180))</f>
        <v/>
      </c>
      <c r="T180" s="7" t="str">
        <f>IF($A180="","",SUMIFS(LinkedIn_Posts!H:H,LinkedIn_Posts!A:A,$A180,LinkedIn_Posts!B:B,$B180))</f>
        <v/>
      </c>
      <c r="U180" s="7" t="str">
        <f>IF($A180="","",SUMIFS(LinkedIn_Posts!I:I,LinkedIn_Posts!A:A,$A180,LinkedIn_Posts!B:B,$B180))</f>
        <v/>
      </c>
    </row>
    <row r="181">
      <c r="A181" s="7" t="s">
        <v>47</v>
      </c>
      <c r="B181" s="7" t="s">
        <v>47</v>
      </c>
      <c r="C181" s="7" t="s">
        <v>47</v>
      </c>
      <c r="D181" s="7" t="str">
        <f>IF($A181="","",SUMIFS(YouTube_Long!G:G,YouTube_Long!A:A,$A181,YouTube_Long!B:B,$B181))</f>
        <v/>
      </c>
      <c r="E181" s="7" t="str">
        <f>IF($A181="","",SUMIFS(YouTube_Long!H:H,YouTube_Long!A:A,$A181,YouTube_Long!B:B,$B181))</f>
        <v/>
      </c>
      <c r="F181" s="7" t="str">
        <f>IF($A181="","",SUMIFS(YouTube_Long!I:I,YouTube_Long!A:A,$A181,YouTube_Long!B:B,$B181))</f>
        <v/>
      </c>
      <c r="G181" s="7" t="str">
        <f>IF($A181="","",COUNTIFS(YouTube_Shorts!A:A,$A181,YouTube_Shorts!B:B,$B181))</f>
        <v/>
      </c>
      <c r="H181" s="7" t="str">
        <f>IF($A181="","",SUMIFS(YouTube_Shorts!F:F,YouTube_Shorts!A:A,$A181,YouTube_Shorts!B:B,$B181))</f>
        <v/>
      </c>
      <c r="I181" s="7" t="str">
        <f>IF($A181="","",SUMIFS(YouTube_Shorts!G:G,YouTube_Shorts!A:A,$A181,YouTube_Shorts!B:B,$B181))</f>
        <v/>
      </c>
      <c r="J181" s="7" t="str">
        <f t="shared" si="1"/>
        <v/>
      </c>
      <c r="K181" s="7" t="str">
        <f>IF($A181="","",SUMIFS(Audio!D:D,Audio!A:A,$A181,Audio!B:B,$B181))</f>
        <v/>
      </c>
      <c r="L181" s="7" t="str">
        <f>IF($A181="","",COUNTIFS(TikTok_Posts!A:A,$A181,TikTok_Posts!B:B,$B181))</f>
        <v/>
      </c>
      <c r="M181" s="7" t="str">
        <f>IF($A181="","",SUMIFS(TikTok_Posts!E:E,TikTok_Posts!A:A,$A181,TikTok_Posts!B:B,$B181))</f>
        <v/>
      </c>
      <c r="N181" s="7" t="str">
        <f>IF($A181="","",COUNTIFS(Instagram_Posts!A:A,$A181,Instagram_Posts!B:B,$B181))</f>
        <v/>
      </c>
      <c r="O181" s="7" t="str">
        <f>IF($A181="","",SUMIFS(Instagram_Posts!E:E,Instagram_Posts!A:A,$A181,Instagram_Posts!B:B,$B181))</f>
        <v/>
      </c>
      <c r="P181" s="7" t="str">
        <f>IF($A181="","",SUMIFS(Blog!E:E,Blog!B:B,$A181,Blog!C:C,$B181))</f>
        <v/>
      </c>
      <c r="Q181" s="7" t="str">
        <f>IF($A181="","",COUNTIFS(LinkedIn_Posts!A:A,$A181,LinkedIn_Posts!B:B,$B181))</f>
        <v/>
      </c>
      <c r="R181" s="7" t="str">
        <f>IF($A181="","",SUMIFS(LinkedIn_Posts!F:F,LinkedIn_Posts!A:A,$A181,LinkedIn_Posts!B:B,$B181))</f>
        <v/>
      </c>
      <c r="S181" s="7" t="str">
        <f>IF($A181="","",SUMIFS(LinkedIn_Posts!G:G,LinkedIn_Posts!A:A,$A181,LinkedIn_Posts!B:B,$B181))</f>
        <v/>
      </c>
      <c r="T181" s="7" t="str">
        <f>IF($A181="","",SUMIFS(LinkedIn_Posts!H:H,LinkedIn_Posts!A:A,$A181,LinkedIn_Posts!B:B,$B181))</f>
        <v/>
      </c>
      <c r="U181" s="7" t="str">
        <f>IF($A181="","",SUMIFS(LinkedIn_Posts!I:I,LinkedIn_Posts!A:A,$A181,LinkedIn_Posts!B:B,$B181))</f>
        <v/>
      </c>
    </row>
    <row r="182">
      <c r="A182" s="7" t="s">
        <v>47</v>
      </c>
      <c r="B182" s="7" t="s">
        <v>47</v>
      </c>
      <c r="C182" s="7" t="s">
        <v>47</v>
      </c>
      <c r="D182" s="7" t="str">
        <f>IF($A182="","",SUMIFS(YouTube_Long!G:G,YouTube_Long!A:A,$A182,YouTube_Long!B:B,$B182))</f>
        <v/>
      </c>
      <c r="E182" s="7" t="str">
        <f>IF($A182="","",SUMIFS(YouTube_Long!H:H,YouTube_Long!A:A,$A182,YouTube_Long!B:B,$B182))</f>
        <v/>
      </c>
      <c r="F182" s="7" t="str">
        <f>IF($A182="","",SUMIFS(YouTube_Long!I:I,YouTube_Long!A:A,$A182,YouTube_Long!B:B,$B182))</f>
        <v/>
      </c>
      <c r="G182" s="7" t="str">
        <f>IF($A182="","",COUNTIFS(YouTube_Shorts!A:A,$A182,YouTube_Shorts!B:B,$B182))</f>
        <v/>
      </c>
      <c r="H182" s="7" t="str">
        <f>IF($A182="","",SUMIFS(YouTube_Shorts!F:F,YouTube_Shorts!A:A,$A182,YouTube_Shorts!B:B,$B182))</f>
        <v/>
      </c>
      <c r="I182" s="7" t="str">
        <f>IF($A182="","",SUMIFS(YouTube_Shorts!G:G,YouTube_Shorts!A:A,$A182,YouTube_Shorts!B:B,$B182))</f>
        <v/>
      </c>
      <c r="J182" s="7" t="str">
        <f t="shared" si="1"/>
        <v/>
      </c>
      <c r="K182" s="7" t="str">
        <f>IF($A182="","",SUMIFS(Audio!D:D,Audio!A:A,$A182,Audio!B:B,$B182))</f>
        <v/>
      </c>
      <c r="L182" s="7" t="str">
        <f>IF($A182="","",COUNTIFS(TikTok_Posts!A:A,$A182,TikTok_Posts!B:B,$B182))</f>
        <v/>
      </c>
      <c r="M182" s="7" t="str">
        <f>IF($A182="","",SUMIFS(TikTok_Posts!E:E,TikTok_Posts!A:A,$A182,TikTok_Posts!B:B,$B182))</f>
        <v/>
      </c>
      <c r="N182" s="7" t="str">
        <f>IF($A182="","",COUNTIFS(Instagram_Posts!A:A,$A182,Instagram_Posts!B:B,$B182))</f>
        <v/>
      </c>
      <c r="O182" s="7" t="str">
        <f>IF($A182="","",SUMIFS(Instagram_Posts!E:E,Instagram_Posts!A:A,$A182,Instagram_Posts!B:B,$B182))</f>
        <v/>
      </c>
      <c r="P182" s="7" t="str">
        <f>IF($A182="","",SUMIFS(Blog!E:E,Blog!B:B,$A182,Blog!C:C,$B182))</f>
        <v/>
      </c>
      <c r="Q182" s="7" t="str">
        <f>IF($A182="","",COUNTIFS(LinkedIn_Posts!A:A,$A182,LinkedIn_Posts!B:B,$B182))</f>
        <v/>
      </c>
      <c r="R182" s="7" t="str">
        <f>IF($A182="","",SUMIFS(LinkedIn_Posts!F:F,LinkedIn_Posts!A:A,$A182,LinkedIn_Posts!B:B,$B182))</f>
        <v/>
      </c>
      <c r="S182" s="7" t="str">
        <f>IF($A182="","",SUMIFS(LinkedIn_Posts!G:G,LinkedIn_Posts!A:A,$A182,LinkedIn_Posts!B:B,$B182))</f>
        <v/>
      </c>
      <c r="T182" s="7" t="str">
        <f>IF($A182="","",SUMIFS(LinkedIn_Posts!H:H,LinkedIn_Posts!A:A,$A182,LinkedIn_Posts!B:B,$B182))</f>
        <v/>
      </c>
      <c r="U182" s="7" t="str">
        <f>IF($A182="","",SUMIFS(LinkedIn_Posts!I:I,LinkedIn_Posts!A:A,$A182,LinkedIn_Posts!B:B,$B182))</f>
        <v/>
      </c>
    </row>
    <row r="183">
      <c r="A183" s="7" t="s">
        <v>47</v>
      </c>
      <c r="B183" s="7" t="s">
        <v>47</v>
      </c>
      <c r="C183" s="7" t="s">
        <v>47</v>
      </c>
      <c r="D183" s="7" t="str">
        <f>IF($A183="","",SUMIFS(YouTube_Long!G:G,YouTube_Long!A:A,$A183,YouTube_Long!B:B,$B183))</f>
        <v/>
      </c>
      <c r="E183" s="7" t="str">
        <f>IF($A183="","",SUMIFS(YouTube_Long!H:H,YouTube_Long!A:A,$A183,YouTube_Long!B:B,$B183))</f>
        <v/>
      </c>
      <c r="F183" s="7" t="str">
        <f>IF($A183="","",SUMIFS(YouTube_Long!I:I,YouTube_Long!A:A,$A183,YouTube_Long!B:B,$B183))</f>
        <v/>
      </c>
      <c r="G183" s="7" t="str">
        <f>IF($A183="","",COUNTIFS(YouTube_Shorts!A:A,$A183,YouTube_Shorts!B:B,$B183))</f>
        <v/>
      </c>
      <c r="H183" s="7" t="str">
        <f>IF($A183="","",SUMIFS(YouTube_Shorts!F:F,YouTube_Shorts!A:A,$A183,YouTube_Shorts!B:B,$B183))</f>
        <v/>
      </c>
      <c r="I183" s="7" t="str">
        <f>IF($A183="","",SUMIFS(YouTube_Shorts!G:G,YouTube_Shorts!A:A,$A183,YouTube_Shorts!B:B,$B183))</f>
        <v/>
      </c>
      <c r="J183" s="7" t="str">
        <f t="shared" si="1"/>
        <v/>
      </c>
      <c r="K183" s="7" t="str">
        <f>IF($A183="","",SUMIFS(Audio!D:D,Audio!A:A,$A183,Audio!B:B,$B183))</f>
        <v/>
      </c>
      <c r="L183" s="7" t="str">
        <f>IF($A183="","",COUNTIFS(TikTok_Posts!A:A,$A183,TikTok_Posts!B:B,$B183))</f>
        <v/>
      </c>
      <c r="M183" s="7" t="str">
        <f>IF($A183="","",SUMIFS(TikTok_Posts!E:E,TikTok_Posts!A:A,$A183,TikTok_Posts!B:B,$B183))</f>
        <v/>
      </c>
      <c r="N183" s="7" t="str">
        <f>IF($A183="","",COUNTIFS(Instagram_Posts!A:A,$A183,Instagram_Posts!B:B,$B183))</f>
        <v/>
      </c>
      <c r="O183" s="7" t="str">
        <f>IF($A183="","",SUMIFS(Instagram_Posts!E:E,Instagram_Posts!A:A,$A183,Instagram_Posts!B:B,$B183))</f>
        <v/>
      </c>
      <c r="P183" s="7" t="str">
        <f>IF($A183="","",SUMIFS(Blog!E:E,Blog!B:B,$A183,Blog!C:C,$B183))</f>
        <v/>
      </c>
      <c r="Q183" s="7" t="str">
        <f>IF($A183="","",COUNTIFS(LinkedIn_Posts!A:A,$A183,LinkedIn_Posts!B:B,$B183))</f>
        <v/>
      </c>
      <c r="R183" s="7" t="str">
        <f>IF($A183="","",SUMIFS(LinkedIn_Posts!F:F,LinkedIn_Posts!A:A,$A183,LinkedIn_Posts!B:B,$B183))</f>
        <v/>
      </c>
      <c r="S183" s="7" t="str">
        <f>IF($A183="","",SUMIFS(LinkedIn_Posts!G:G,LinkedIn_Posts!A:A,$A183,LinkedIn_Posts!B:B,$B183))</f>
        <v/>
      </c>
      <c r="T183" s="7" t="str">
        <f>IF($A183="","",SUMIFS(LinkedIn_Posts!H:H,LinkedIn_Posts!A:A,$A183,LinkedIn_Posts!B:B,$B183))</f>
        <v/>
      </c>
      <c r="U183" s="7" t="str">
        <f>IF($A183="","",SUMIFS(LinkedIn_Posts!I:I,LinkedIn_Posts!A:A,$A183,LinkedIn_Posts!B:B,$B183))</f>
        <v/>
      </c>
    </row>
    <row r="184">
      <c r="A184" s="7" t="s">
        <v>47</v>
      </c>
      <c r="B184" s="7" t="s">
        <v>47</v>
      </c>
      <c r="C184" s="7" t="s">
        <v>47</v>
      </c>
      <c r="D184" s="7" t="str">
        <f>IF($A184="","",SUMIFS(YouTube_Long!G:G,YouTube_Long!A:A,$A184,YouTube_Long!B:B,$B184))</f>
        <v/>
      </c>
      <c r="E184" s="7" t="str">
        <f>IF($A184="","",SUMIFS(YouTube_Long!H:H,YouTube_Long!A:A,$A184,YouTube_Long!B:B,$B184))</f>
        <v/>
      </c>
      <c r="F184" s="7" t="str">
        <f>IF($A184="","",SUMIFS(YouTube_Long!I:I,YouTube_Long!A:A,$A184,YouTube_Long!B:B,$B184))</f>
        <v/>
      </c>
      <c r="G184" s="7" t="str">
        <f>IF($A184="","",COUNTIFS(YouTube_Shorts!A:A,$A184,YouTube_Shorts!B:B,$B184))</f>
        <v/>
      </c>
      <c r="H184" s="7" t="str">
        <f>IF($A184="","",SUMIFS(YouTube_Shorts!F:F,YouTube_Shorts!A:A,$A184,YouTube_Shorts!B:B,$B184))</f>
        <v/>
      </c>
      <c r="I184" s="7" t="str">
        <f>IF($A184="","",SUMIFS(YouTube_Shorts!G:G,YouTube_Shorts!A:A,$A184,YouTube_Shorts!B:B,$B184))</f>
        <v/>
      </c>
      <c r="J184" s="7" t="str">
        <f t="shared" si="1"/>
        <v/>
      </c>
      <c r="K184" s="7" t="str">
        <f>IF($A184="","",SUMIFS(Audio!D:D,Audio!A:A,$A184,Audio!B:B,$B184))</f>
        <v/>
      </c>
      <c r="L184" s="7" t="str">
        <f>IF($A184="","",COUNTIFS(TikTok_Posts!A:A,$A184,TikTok_Posts!B:B,$B184))</f>
        <v/>
      </c>
      <c r="M184" s="7" t="str">
        <f>IF($A184="","",SUMIFS(TikTok_Posts!E:E,TikTok_Posts!A:A,$A184,TikTok_Posts!B:B,$B184))</f>
        <v/>
      </c>
      <c r="N184" s="7" t="str">
        <f>IF($A184="","",COUNTIFS(Instagram_Posts!A:A,$A184,Instagram_Posts!B:B,$B184))</f>
        <v/>
      </c>
      <c r="O184" s="7" t="str">
        <f>IF($A184="","",SUMIFS(Instagram_Posts!E:E,Instagram_Posts!A:A,$A184,Instagram_Posts!B:B,$B184))</f>
        <v/>
      </c>
      <c r="P184" s="7" t="str">
        <f>IF($A184="","",SUMIFS(Blog!E:E,Blog!B:B,$A184,Blog!C:C,$B184))</f>
        <v/>
      </c>
      <c r="Q184" s="7" t="str">
        <f>IF($A184="","",COUNTIFS(LinkedIn_Posts!A:A,$A184,LinkedIn_Posts!B:B,$B184))</f>
        <v/>
      </c>
      <c r="R184" s="7" t="str">
        <f>IF($A184="","",SUMIFS(LinkedIn_Posts!F:F,LinkedIn_Posts!A:A,$A184,LinkedIn_Posts!B:B,$B184))</f>
        <v/>
      </c>
      <c r="S184" s="7" t="str">
        <f>IF($A184="","",SUMIFS(LinkedIn_Posts!G:G,LinkedIn_Posts!A:A,$A184,LinkedIn_Posts!B:B,$B184))</f>
        <v/>
      </c>
      <c r="T184" s="7" t="str">
        <f>IF($A184="","",SUMIFS(LinkedIn_Posts!H:H,LinkedIn_Posts!A:A,$A184,LinkedIn_Posts!B:B,$B184))</f>
        <v/>
      </c>
      <c r="U184" s="7" t="str">
        <f>IF($A184="","",SUMIFS(LinkedIn_Posts!I:I,LinkedIn_Posts!A:A,$A184,LinkedIn_Posts!B:B,$B184))</f>
        <v/>
      </c>
    </row>
    <row r="185">
      <c r="A185" s="7" t="s">
        <v>47</v>
      </c>
      <c r="B185" s="7" t="s">
        <v>47</v>
      </c>
      <c r="C185" s="7" t="s">
        <v>47</v>
      </c>
      <c r="D185" s="7" t="str">
        <f>IF($A185="","",SUMIFS(YouTube_Long!G:G,YouTube_Long!A:A,$A185,YouTube_Long!B:B,$B185))</f>
        <v/>
      </c>
      <c r="E185" s="7" t="str">
        <f>IF($A185="","",SUMIFS(YouTube_Long!H:H,YouTube_Long!A:A,$A185,YouTube_Long!B:B,$B185))</f>
        <v/>
      </c>
      <c r="F185" s="7" t="str">
        <f>IF($A185="","",SUMIFS(YouTube_Long!I:I,YouTube_Long!A:A,$A185,YouTube_Long!B:B,$B185))</f>
        <v/>
      </c>
      <c r="G185" s="7" t="str">
        <f>IF($A185="","",COUNTIFS(YouTube_Shorts!A:A,$A185,YouTube_Shorts!B:B,$B185))</f>
        <v/>
      </c>
      <c r="H185" s="7" t="str">
        <f>IF($A185="","",SUMIFS(YouTube_Shorts!F:F,YouTube_Shorts!A:A,$A185,YouTube_Shorts!B:B,$B185))</f>
        <v/>
      </c>
      <c r="I185" s="7" t="str">
        <f>IF($A185="","",SUMIFS(YouTube_Shorts!G:G,YouTube_Shorts!A:A,$A185,YouTube_Shorts!B:B,$B185))</f>
        <v/>
      </c>
      <c r="J185" s="7" t="str">
        <f t="shared" si="1"/>
        <v/>
      </c>
      <c r="K185" s="7" t="str">
        <f>IF($A185="","",SUMIFS(Audio!D:D,Audio!A:A,$A185,Audio!B:B,$B185))</f>
        <v/>
      </c>
      <c r="L185" s="7" t="str">
        <f>IF($A185="","",COUNTIFS(TikTok_Posts!A:A,$A185,TikTok_Posts!B:B,$B185))</f>
        <v/>
      </c>
      <c r="M185" s="7" t="str">
        <f>IF($A185="","",SUMIFS(TikTok_Posts!E:E,TikTok_Posts!A:A,$A185,TikTok_Posts!B:B,$B185))</f>
        <v/>
      </c>
      <c r="N185" s="7" t="str">
        <f>IF($A185="","",COUNTIFS(Instagram_Posts!A:A,$A185,Instagram_Posts!B:B,$B185))</f>
        <v/>
      </c>
      <c r="O185" s="7" t="str">
        <f>IF($A185="","",SUMIFS(Instagram_Posts!E:E,Instagram_Posts!A:A,$A185,Instagram_Posts!B:B,$B185))</f>
        <v/>
      </c>
      <c r="P185" s="7" t="str">
        <f>IF($A185="","",SUMIFS(Blog!E:E,Blog!B:B,$A185,Blog!C:C,$B185))</f>
        <v/>
      </c>
      <c r="Q185" s="7" t="str">
        <f>IF($A185="","",COUNTIFS(LinkedIn_Posts!A:A,$A185,LinkedIn_Posts!B:B,$B185))</f>
        <v/>
      </c>
      <c r="R185" s="7" t="str">
        <f>IF($A185="","",SUMIFS(LinkedIn_Posts!F:F,LinkedIn_Posts!A:A,$A185,LinkedIn_Posts!B:B,$B185))</f>
        <v/>
      </c>
      <c r="S185" s="7" t="str">
        <f>IF($A185="","",SUMIFS(LinkedIn_Posts!G:G,LinkedIn_Posts!A:A,$A185,LinkedIn_Posts!B:B,$B185))</f>
        <v/>
      </c>
      <c r="T185" s="7" t="str">
        <f>IF($A185="","",SUMIFS(LinkedIn_Posts!H:H,LinkedIn_Posts!A:A,$A185,LinkedIn_Posts!B:B,$B185))</f>
        <v/>
      </c>
      <c r="U185" s="7" t="str">
        <f>IF($A185="","",SUMIFS(LinkedIn_Posts!I:I,LinkedIn_Posts!A:A,$A185,LinkedIn_Posts!B:B,$B185))</f>
        <v/>
      </c>
    </row>
    <row r="186">
      <c r="A186" s="7" t="s">
        <v>47</v>
      </c>
      <c r="B186" s="7" t="s">
        <v>47</v>
      </c>
      <c r="C186" s="7" t="s">
        <v>47</v>
      </c>
      <c r="D186" s="7" t="str">
        <f>IF($A186="","",SUMIFS(YouTube_Long!G:G,YouTube_Long!A:A,$A186,YouTube_Long!B:B,$B186))</f>
        <v/>
      </c>
      <c r="E186" s="7" t="str">
        <f>IF($A186="","",SUMIFS(YouTube_Long!H:H,YouTube_Long!A:A,$A186,YouTube_Long!B:B,$B186))</f>
        <v/>
      </c>
      <c r="F186" s="7" t="str">
        <f>IF($A186="","",SUMIFS(YouTube_Long!I:I,YouTube_Long!A:A,$A186,YouTube_Long!B:B,$B186))</f>
        <v/>
      </c>
      <c r="G186" s="7" t="str">
        <f>IF($A186="","",COUNTIFS(YouTube_Shorts!A:A,$A186,YouTube_Shorts!B:B,$B186))</f>
        <v/>
      </c>
      <c r="H186" s="7" t="str">
        <f>IF($A186="","",SUMIFS(YouTube_Shorts!F:F,YouTube_Shorts!A:A,$A186,YouTube_Shorts!B:B,$B186))</f>
        <v/>
      </c>
      <c r="I186" s="7" t="str">
        <f>IF($A186="","",SUMIFS(YouTube_Shorts!G:G,YouTube_Shorts!A:A,$A186,YouTube_Shorts!B:B,$B186))</f>
        <v/>
      </c>
      <c r="J186" s="7" t="str">
        <f t="shared" si="1"/>
        <v/>
      </c>
      <c r="K186" s="7" t="str">
        <f>IF($A186="","",SUMIFS(Audio!D:D,Audio!A:A,$A186,Audio!B:B,$B186))</f>
        <v/>
      </c>
      <c r="L186" s="7" t="str">
        <f>IF($A186="","",COUNTIFS(TikTok_Posts!A:A,$A186,TikTok_Posts!B:B,$B186))</f>
        <v/>
      </c>
      <c r="M186" s="7" t="str">
        <f>IF($A186="","",SUMIFS(TikTok_Posts!E:E,TikTok_Posts!A:A,$A186,TikTok_Posts!B:B,$B186))</f>
        <v/>
      </c>
      <c r="N186" s="7" t="str">
        <f>IF($A186="","",COUNTIFS(Instagram_Posts!A:A,$A186,Instagram_Posts!B:B,$B186))</f>
        <v/>
      </c>
      <c r="O186" s="7" t="str">
        <f>IF($A186="","",SUMIFS(Instagram_Posts!E:E,Instagram_Posts!A:A,$A186,Instagram_Posts!B:B,$B186))</f>
        <v/>
      </c>
      <c r="P186" s="7" t="str">
        <f>IF($A186="","",SUMIFS(Blog!E:E,Blog!B:B,$A186,Blog!C:C,$B186))</f>
        <v/>
      </c>
      <c r="Q186" s="7" t="str">
        <f>IF($A186="","",COUNTIFS(LinkedIn_Posts!A:A,$A186,LinkedIn_Posts!B:B,$B186))</f>
        <v/>
      </c>
      <c r="R186" s="7" t="str">
        <f>IF($A186="","",SUMIFS(LinkedIn_Posts!F:F,LinkedIn_Posts!A:A,$A186,LinkedIn_Posts!B:B,$B186))</f>
        <v/>
      </c>
      <c r="S186" s="7" t="str">
        <f>IF($A186="","",SUMIFS(LinkedIn_Posts!G:G,LinkedIn_Posts!A:A,$A186,LinkedIn_Posts!B:B,$B186))</f>
        <v/>
      </c>
      <c r="T186" s="7" t="str">
        <f>IF($A186="","",SUMIFS(LinkedIn_Posts!H:H,LinkedIn_Posts!A:A,$A186,LinkedIn_Posts!B:B,$B186))</f>
        <v/>
      </c>
      <c r="U186" s="7" t="str">
        <f>IF($A186="","",SUMIFS(LinkedIn_Posts!I:I,LinkedIn_Posts!A:A,$A186,LinkedIn_Posts!B:B,$B186))</f>
        <v/>
      </c>
    </row>
    <row r="187">
      <c r="A187" s="7" t="s">
        <v>47</v>
      </c>
      <c r="B187" s="7" t="s">
        <v>47</v>
      </c>
      <c r="C187" s="7" t="s">
        <v>47</v>
      </c>
      <c r="D187" s="7" t="str">
        <f>IF($A187="","",SUMIFS(YouTube_Long!G:G,YouTube_Long!A:A,$A187,YouTube_Long!B:B,$B187))</f>
        <v/>
      </c>
      <c r="E187" s="7" t="str">
        <f>IF($A187="","",SUMIFS(YouTube_Long!H:H,YouTube_Long!A:A,$A187,YouTube_Long!B:B,$B187))</f>
        <v/>
      </c>
      <c r="F187" s="7" t="str">
        <f>IF($A187="","",SUMIFS(YouTube_Long!I:I,YouTube_Long!A:A,$A187,YouTube_Long!B:B,$B187))</f>
        <v/>
      </c>
      <c r="G187" s="7" t="str">
        <f>IF($A187="","",COUNTIFS(YouTube_Shorts!A:A,$A187,YouTube_Shorts!B:B,$B187))</f>
        <v/>
      </c>
      <c r="H187" s="7" t="str">
        <f>IF($A187="","",SUMIFS(YouTube_Shorts!F:F,YouTube_Shorts!A:A,$A187,YouTube_Shorts!B:B,$B187))</f>
        <v/>
      </c>
      <c r="I187" s="7" t="str">
        <f>IF($A187="","",SUMIFS(YouTube_Shorts!G:G,YouTube_Shorts!A:A,$A187,YouTube_Shorts!B:B,$B187))</f>
        <v/>
      </c>
      <c r="J187" s="7" t="str">
        <f t="shared" si="1"/>
        <v/>
      </c>
      <c r="K187" s="7" t="str">
        <f>IF($A187="","",SUMIFS(Audio!D:D,Audio!A:A,$A187,Audio!B:B,$B187))</f>
        <v/>
      </c>
      <c r="L187" s="7" t="str">
        <f>IF($A187="","",COUNTIFS(TikTok_Posts!A:A,$A187,TikTok_Posts!B:B,$B187))</f>
        <v/>
      </c>
      <c r="M187" s="7" t="str">
        <f>IF($A187="","",SUMIFS(TikTok_Posts!E:E,TikTok_Posts!A:A,$A187,TikTok_Posts!B:B,$B187))</f>
        <v/>
      </c>
      <c r="N187" s="7" t="str">
        <f>IF($A187="","",COUNTIFS(Instagram_Posts!A:A,$A187,Instagram_Posts!B:B,$B187))</f>
        <v/>
      </c>
      <c r="O187" s="7" t="str">
        <f>IF($A187="","",SUMIFS(Instagram_Posts!E:E,Instagram_Posts!A:A,$A187,Instagram_Posts!B:B,$B187))</f>
        <v/>
      </c>
      <c r="P187" s="7" t="str">
        <f>IF($A187="","",SUMIFS(Blog!E:E,Blog!B:B,$A187,Blog!C:C,$B187))</f>
        <v/>
      </c>
      <c r="Q187" s="7" t="str">
        <f>IF($A187="","",COUNTIFS(LinkedIn_Posts!A:A,$A187,LinkedIn_Posts!B:B,$B187))</f>
        <v/>
      </c>
      <c r="R187" s="7" t="str">
        <f>IF($A187="","",SUMIFS(LinkedIn_Posts!F:F,LinkedIn_Posts!A:A,$A187,LinkedIn_Posts!B:B,$B187))</f>
        <v/>
      </c>
      <c r="S187" s="7" t="str">
        <f>IF($A187="","",SUMIFS(LinkedIn_Posts!G:G,LinkedIn_Posts!A:A,$A187,LinkedIn_Posts!B:B,$B187))</f>
        <v/>
      </c>
      <c r="T187" s="7" t="str">
        <f>IF($A187="","",SUMIFS(LinkedIn_Posts!H:H,LinkedIn_Posts!A:A,$A187,LinkedIn_Posts!B:B,$B187))</f>
        <v/>
      </c>
      <c r="U187" s="7" t="str">
        <f>IF($A187="","",SUMIFS(LinkedIn_Posts!I:I,LinkedIn_Posts!A:A,$A187,LinkedIn_Posts!B:B,$B187))</f>
        <v/>
      </c>
    </row>
    <row r="188">
      <c r="A188" s="7" t="s">
        <v>47</v>
      </c>
      <c r="B188" s="7" t="s">
        <v>47</v>
      </c>
      <c r="C188" s="7" t="s">
        <v>47</v>
      </c>
      <c r="D188" s="7" t="str">
        <f>IF($A188="","",SUMIFS(YouTube_Long!G:G,YouTube_Long!A:A,$A188,YouTube_Long!B:B,$B188))</f>
        <v/>
      </c>
      <c r="E188" s="7" t="str">
        <f>IF($A188="","",SUMIFS(YouTube_Long!H:H,YouTube_Long!A:A,$A188,YouTube_Long!B:B,$B188))</f>
        <v/>
      </c>
      <c r="F188" s="7" t="str">
        <f>IF($A188="","",SUMIFS(YouTube_Long!I:I,YouTube_Long!A:A,$A188,YouTube_Long!B:B,$B188))</f>
        <v/>
      </c>
      <c r="G188" s="7" t="str">
        <f>IF($A188="","",COUNTIFS(YouTube_Shorts!A:A,$A188,YouTube_Shorts!B:B,$B188))</f>
        <v/>
      </c>
      <c r="H188" s="7" t="str">
        <f>IF($A188="","",SUMIFS(YouTube_Shorts!F:F,YouTube_Shorts!A:A,$A188,YouTube_Shorts!B:B,$B188))</f>
        <v/>
      </c>
      <c r="I188" s="7" t="str">
        <f>IF($A188="","",SUMIFS(YouTube_Shorts!G:G,YouTube_Shorts!A:A,$A188,YouTube_Shorts!B:B,$B188))</f>
        <v/>
      </c>
      <c r="J188" s="7" t="str">
        <f t="shared" si="1"/>
        <v/>
      </c>
      <c r="K188" s="7" t="str">
        <f>IF($A188="","",SUMIFS(Audio!D:D,Audio!A:A,$A188,Audio!B:B,$B188))</f>
        <v/>
      </c>
      <c r="L188" s="7" t="str">
        <f>IF($A188="","",COUNTIFS(TikTok_Posts!A:A,$A188,TikTok_Posts!B:B,$B188))</f>
        <v/>
      </c>
      <c r="M188" s="7" t="str">
        <f>IF($A188="","",SUMIFS(TikTok_Posts!E:E,TikTok_Posts!A:A,$A188,TikTok_Posts!B:B,$B188))</f>
        <v/>
      </c>
      <c r="N188" s="7" t="str">
        <f>IF($A188="","",COUNTIFS(Instagram_Posts!A:A,$A188,Instagram_Posts!B:B,$B188))</f>
        <v/>
      </c>
      <c r="O188" s="7" t="str">
        <f>IF($A188="","",SUMIFS(Instagram_Posts!E:E,Instagram_Posts!A:A,$A188,Instagram_Posts!B:B,$B188))</f>
        <v/>
      </c>
      <c r="P188" s="7" t="str">
        <f>IF($A188="","",SUMIFS(Blog!E:E,Blog!B:B,$A188,Blog!C:C,$B188))</f>
        <v/>
      </c>
      <c r="Q188" s="7" t="str">
        <f>IF($A188="","",COUNTIFS(LinkedIn_Posts!A:A,$A188,LinkedIn_Posts!B:B,$B188))</f>
        <v/>
      </c>
      <c r="R188" s="7" t="str">
        <f>IF($A188="","",SUMIFS(LinkedIn_Posts!F:F,LinkedIn_Posts!A:A,$A188,LinkedIn_Posts!B:B,$B188))</f>
        <v/>
      </c>
      <c r="S188" s="7" t="str">
        <f>IF($A188="","",SUMIFS(LinkedIn_Posts!G:G,LinkedIn_Posts!A:A,$A188,LinkedIn_Posts!B:B,$B188))</f>
        <v/>
      </c>
      <c r="T188" s="7" t="str">
        <f>IF($A188="","",SUMIFS(LinkedIn_Posts!H:H,LinkedIn_Posts!A:A,$A188,LinkedIn_Posts!B:B,$B188))</f>
        <v/>
      </c>
      <c r="U188" s="7" t="str">
        <f>IF($A188="","",SUMIFS(LinkedIn_Posts!I:I,LinkedIn_Posts!A:A,$A188,LinkedIn_Posts!B:B,$B188))</f>
        <v/>
      </c>
    </row>
    <row r="189">
      <c r="A189" s="7" t="s">
        <v>47</v>
      </c>
      <c r="B189" s="7" t="s">
        <v>47</v>
      </c>
      <c r="C189" s="7" t="s">
        <v>47</v>
      </c>
      <c r="D189" s="7" t="str">
        <f>IF($A189="","",SUMIFS(YouTube_Long!G:G,YouTube_Long!A:A,$A189,YouTube_Long!B:B,$B189))</f>
        <v/>
      </c>
      <c r="E189" s="7" t="str">
        <f>IF($A189="","",SUMIFS(YouTube_Long!H:H,YouTube_Long!A:A,$A189,YouTube_Long!B:B,$B189))</f>
        <v/>
      </c>
      <c r="F189" s="7" t="str">
        <f>IF($A189="","",SUMIFS(YouTube_Long!I:I,YouTube_Long!A:A,$A189,YouTube_Long!B:B,$B189))</f>
        <v/>
      </c>
      <c r="G189" s="7" t="str">
        <f>IF($A189="","",COUNTIFS(YouTube_Shorts!A:A,$A189,YouTube_Shorts!B:B,$B189))</f>
        <v/>
      </c>
      <c r="H189" s="7" t="str">
        <f>IF($A189="","",SUMIFS(YouTube_Shorts!F:F,YouTube_Shorts!A:A,$A189,YouTube_Shorts!B:B,$B189))</f>
        <v/>
      </c>
      <c r="I189" s="7" t="str">
        <f>IF($A189="","",SUMIFS(YouTube_Shorts!G:G,YouTube_Shorts!A:A,$A189,YouTube_Shorts!B:B,$B189))</f>
        <v/>
      </c>
      <c r="J189" s="7" t="str">
        <f t="shared" si="1"/>
        <v/>
      </c>
      <c r="K189" s="7" t="str">
        <f>IF($A189="","",SUMIFS(Audio!D:D,Audio!A:A,$A189,Audio!B:B,$B189))</f>
        <v/>
      </c>
      <c r="L189" s="7" t="str">
        <f>IF($A189="","",COUNTIFS(TikTok_Posts!A:A,$A189,TikTok_Posts!B:B,$B189))</f>
        <v/>
      </c>
      <c r="M189" s="7" t="str">
        <f>IF($A189="","",SUMIFS(TikTok_Posts!E:E,TikTok_Posts!A:A,$A189,TikTok_Posts!B:B,$B189))</f>
        <v/>
      </c>
      <c r="N189" s="7" t="str">
        <f>IF($A189="","",COUNTIFS(Instagram_Posts!A:A,$A189,Instagram_Posts!B:B,$B189))</f>
        <v/>
      </c>
      <c r="O189" s="7" t="str">
        <f>IF($A189="","",SUMIFS(Instagram_Posts!E:E,Instagram_Posts!A:A,$A189,Instagram_Posts!B:B,$B189))</f>
        <v/>
      </c>
      <c r="P189" s="7" t="str">
        <f>IF($A189="","",SUMIFS(Blog!E:E,Blog!B:B,$A189,Blog!C:C,$B189))</f>
        <v/>
      </c>
      <c r="Q189" s="7" t="str">
        <f>IF($A189="","",COUNTIFS(LinkedIn_Posts!A:A,$A189,LinkedIn_Posts!B:B,$B189))</f>
        <v/>
      </c>
      <c r="R189" s="7" t="str">
        <f>IF($A189="","",SUMIFS(LinkedIn_Posts!F:F,LinkedIn_Posts!A:A,$A189,LinkedIn_Posts!B:B,$B189))</f>
        <v/>
      </c>
      <c r="S189" s="7" t="str">
        <f>IF($A189="","",SUMIFS(LinkedIn_Posts!G:G,LinkedIn_Posts!A:A,$A189,LinkedIn_Posts!B:B,$B189))</f>
        <v/>
      </c>
      <c r="T189" s="7" t="str">
        <f>IF($A189="","",SUMIFS(LinkedIn_Posts!H:H,LinkedIn_Posts!A:A,$A189,LinkedIn_Posts!B:B,$B189))</f>
        <v/>
      </c>
      <c r="U189" s="7" t="str">
        <f>IF($A189="","",SUMIFS(LinkedIn_Posts!I:I,LinkedIn_Posts!A:A,$A189,LinkedIn_Posts!B:B,$B189))</f>
        <v/>
      </c>
    </row>
    <row r="190">
      <c r="A190" s="7" t="s">
        <v>47</v>
      </c>
      <c r="B190" s="7" t="s">
        <v>47</v>
      </c>
      <c r="C190" s="7" t="s">
        <v>47</v>
      </c>
      <c r="D190" s="7" t="str">
        <f>IF($A190="","",SUMIFS(YouTube_Long!G:G,YouTube_Long!A:A,$A190,YouTube_Long!B:B,$B190))</f>
        <v/>
      </c>
      <c r="E190" s="7" t="str">
        <f>IF($A190="","",SUMIFS(YouTube_Long!H:H,YouTube_Long!A:A,$A190,YouTube_Long!B:B,$B190))</f>
        <v/>
      </c>
      <c r="F190" s="7" t="str">
        <f>IF($A190="","",SUMIFS(YouTube_Long!I:I,YouTube_Long!A:A,$A190,YouTube_Long!B:B,$B190))</f>
        <v/>
      </c>
      <c r="G190" s="7" t="str">
        <f>IF($A190="","",COUNTIFS(YouTube_Shorts!A:A,$A190,YouTube_Shorts!B:B,$B190))</f>
        <v/>
      </c>
      <c r="H190" s="7" t="str">
        <f>IF($A190="","",SUMIFS(YouTube_Shorts!F:F,YouTube_Shorts!A:A,$A190,YouTube_Shorts!B:B,$B190))</f>
        <v/>
      </c>
      <c r="I190" s="7" t="str">
        <f>IF($A190="","",SUMIFS(YouTube_Shorts!G:G,YouTube_Shorts!A:A,$A190,YouTube_Shorts!B:B,$B190))</f>
        <v/>
      </c>
      <c r="J190" s="7" t="str">
        <f t="shared" si="1"/>
        <v/>
      </c>
      <c r="K190" s="7" t="str">
        <f>IF($A190="","",SUMIFS(Audio!D:D,Audio!A:A,$A190,Audio!B:B,$B190))</f>
        <v/>
      </c>
      <c r="L190" s="7" t="str">
        <f>IF($A190="","",COUNTIFS(TikTok_Posts!A:A,$A190,TikTok_Posts!B:B,$B190))</f>
        <v/>
      </c>
      <c r="M190" s="7" t="str">
        <f>IF($A190="","",SUMIFS(TikTok_Posts!E:E,TikTok_Posts!A:A,$A190,TikTok_Posts!B:B,$B190))</f>
        <v/>
      </c>
      <c r="N190" s="7" t="str">
        <f>IF($A190="","",COUNTIFS(Instagram_Posts!A:A,$A190,Instagram_Posts!B:B,$B190))</f>
        <v/>
      </c>
      <c r="O190" s="7" t="str">
        <f>IF($A190="","",SUMIFS(Instagram_Posts!E:E,Instagram_Posts!A:A,$A190,Instagram_Posts!B:B,$B190))</f>
        <v/>
      </c>
      <c r="P190" s="7" t="str">
        <f>IF($A190="","",SUMIFS(Blog!E:E,Blog!B:B,$A190,Blog!C:C,$B190))</f>
        <v/>
      </c>
      <c r="Q190" s="7" t="str">
        <f>IF($A190="","",COUNTIFS(LinkedIn_Posts!A:A,$A190,LinkedIn_Posts!B:B,$B190))</f>
        <v/>
      </c>
      <c r="R190" s="7" t="str">
        <f>IF($A190="","",SUMIFS(LinkedIn_Posts!F:F,LinkedIn_Posts!A:A,$A190,LinkedIn_Posts!B:B,$B190))</f>
        <v/>
      </c>
      <c r="S190" s="7" t="str">
        <f>IF($A190="","",SUMIFS(LinkedIn_Posts!G:G,LinkedIn_Posts!A:A,$A190,LinkedIn_Posts!B:B,$B190))</f>
        <v/>
      </c>
      <c r="T190" s="7" t="str">
        <f>IF($A190="","",SUMIFS(LinkedIn_Posts!H:H,LinkedIn_Posts!A:A,$A190,LinkedIn_Posts!B:B,$B190))</f>
        <v/>
      </c>
      <c r="U190" s="7" t="str">
        <f>IF($A190="","",SUMIFS(LinkedIn_Posts!I:I,LinkedIn_Posts!A:A,$A190,LinkedIn_Posts!B:B,$B190))</f>
        <v/>
      </c>
    </row>
    <row r="191">
      <c r="A191" s="7" t="s">
        <v>47</v>
      </c>
      <c r="B191" s="7" t="s">
        <v>47</v>
      </c>
      <c r="C191" s="7" t="s">
        <v>47</v>
      </c>
      <c r="D191" s="7" t="str">
        <f>IF($A191="","",SUMIFS(YouTube_Long!G:G,YouTube_Long!A:A,$A191,YouTube_Long!B:B,$B191))</f>
        <v/>
      </c>
      <c r="E191" s="7" t="str">
        <f>IF($A191="","",SUMIFS(YouTube_Long!H:H,YouTube_Long!A:A,$A191,YouTube_Long!B:B,$B191))</f>
        <v/>
      </c>
      <c r="F191" s="7" t="str">
        <f>IF($A191="","",SUMIFS(YouTube_Long!I:I,YouTube_Long!A:A,$A191,YouTube_Long!B:B,$B191))</f>
        <v/>
      </c>
      <c r="G191" s="7" t="str">
        <f>IF($A191="","",COUNTIFS(YouTube_Shorts!A:A,$A191,YouTube_Shorts!B:B,$B191))</f>
        <v/>
      </c>
      <c r="H191" s="7" t="str">
        <f>IF($A191="","",SUMIFS(YouTube_Shorts!F:F,YouTube_Shorts!A:A,$A191,YouTube_Shorts!B:B,$B191))</f>
        <v/>
      </c>
      <c r="I191" s="7" t="str">
        <f>IF($A191="","",SUMIFS(YouTube_Shorts!G:G,YouTube_Shorts!A:A,$A191,YouTube_Shorts!B:B,$B191))</f>
        <v/>
      </c>
      <c r="J191" s="7" t="str">
        <f t="shared" si="1"/>
        <v/>
      </c>
      <c r="K191" s="7" t="str">
        <f>IF($A191="","",SUMIFS(Audio!D:D,Audio!A:A,$A191,Audio!B:B,$B191))</f>
        <v/>
      </c>
      <c r="L191" s="7" t="str">
        <f>IF($A191="","",COUNTIFS(TikTok_Posts!A:A,$A191,TikTok_Posts!B:B,$B191))</f>
        <v/>
      </c>
      <c r="M191" s="7" t="str">
        <f>IF($A191="","",SUMIFS(TikTok_Posts!E:E,TikTok_Posts!A:A,$A191,TikTok_Posts!B:B,$B191))</f>
        <v/>
      </c>
      <c r="N191" s="7" t="str">
        <f>IF($A191="","",COUNTIFS(Instagram_Posts!A:A,$A191,Instagram_Posts!B:B,$B191))</f>
        <v/>
      </c>
      <c r="O191" s="7" t="str">
        <f>IF($A191="","",SUMIFS(Instagram_Posts!E:E,Instagram_Posts!A:A,$A191,Instagram_Posts!B:B,$B191))</f>
        <v/>
      </c>
      <c r="P191" s="7" t="str">
        <f>IF($A191="","",SUMIFS(Blog!E:E,Blog!B:B,$A191,Blog!C:C,$B191))</f>
        <v/>
      </c>
      <c r="Q191" s="7" t="str">
        <f>IF($A191="","",COUNTIFS(LinkedIn_Posts!A:A,$A191,LinkedIn_Posts!B:B,$B191))</f>
        <v/>
      </c>
      <c r="R191" s="7" t="str">
        <f>IF($A191="","",SUMIFS(LinkedIn_Posts!F:F,LinkedIn_Posts!A:A,$A191,LinkedIn_Posts!B:B,$B191))</f>
        <v/>
      </c>
      <c r="S191" s="7" t="str">
        <f>IF($A191="","",SUMIFS(LinkedIn_Posts!G:G,LinkedIn_Posts!A:A,$A191,LinkedIn_Posts!B:B,$B191))</f>
        <v/>
      </c>
      <c r="T191" s="7" t="str">
        <f>IF($A191="","",SUMIFS(LinkedIn_Posts!H:H,LinkedIn_Posts!A:A,$A191,LinkedIn_Posts!B:B,$B191))</f>
        <v/>
      </c>
      <c r="U191" s="7" t="str">
        <f>IF($A191="","",SUMIFS(LinkedIn_Posts!I:I,LinkedIn_Posts!A:A,$A191,LinkedIn_Posts!B:B,$B191))</f>
        <v/>
      </c>
    </row>
    <row r="192">
      <c r="A192" s="7" t="s">
        <v>47</v>
      </c>
      <c r="B192" s="7" t="s">
        <v>47</v>
      </c>
      <c r="C192" s="7" t="s">
        <v>47</v>
      </c>
      <c r="D192" s="7" t="str">
        <f>IF($A192="","",SUMIFS(YouTube_Long!G:G,YouTube_Long!A:A,$A192,YouTube_Long!B:B,$B192))</f>
        <v/>
      </c>
      <c r="E192" s="7" t="str">
        <f>IF($A192="","",SUMIFS(YouTube_Long!H:H,YouTube_Long!A:A,$A192,YouTube_Long!B:B,$B192))</f>
        <v/>
      </c>
      <c r="F192" s="7" t="str">
        <f>IF($A192="","",SUMIFS(YouTube_Long!I:I,YouTube_Long!A:A,$A192,YouTube_Long!B:B,$B192))</f>
        <v/>
      </c>
      <c r="G192" s="7" t="str">
        <f>IF($A192="","",COUNTIFS(YouTube_Shorts!A:A,$A192,YouTube_Shorts!B:B,$B192))</f>
        <v/>
      </c>
      <c r="H192" s="7" t="str">
        <f>IF($A192="","",SUMIFS(YouTube_Shorts!F:F,YouTube_Shorts!A:A,$A192,YouTube_Shorts!B:B,$B192))</f>
        <v/>
      </c>
      <c r="I192" s="7" t="str">
        <f>IF($A192="","",SUMIFS(YouTube_Shorts!G:G,YouTube_Shorts!A:A,$A192,YouTube_Shorts!B:B,$B192))</f>
        <v/>
      </c>
      <c r="J192" s="7" t="str">
        <f t="shared" si="1"/>
        <v/>
      </c>
      <c r="K192" s="7" t="str">
        <f>IF($A192="","",SUMIFS(Audio!D:D,Audio!A:A,$A192,Audio!B:B,$B192))</f>
        <v/>
      </c>
      <c r="L192" s="7" t="str">
        <f>IF($A192="","",COUNTIFS(TikTok_Posts!A:A,$A192,TikTok_Posts!B:B,$B192))</f>
        <v/>
      </c>
      <c r="M192" s="7" t="str">
        <f>IF($A192="","",SUMIFS(TikTok_Posts!E:E,TikTok_Posts!A:A,$A192,TikTok_Posts!B:B,$B192))</f>
        <v/>
      </c>
      <c r="N192" s="7" t="str">
        <f>IF($A192="","",COUNTIFS(Instagram_Posts!A:A,$A192,Instagram_Posts!B:B,$B192))</f>
        <v/>
      </c>
      <c r="O192" s="7" t="str">
        <f>IF($A192="","",SUMIFS(Instagram_Posts!E:E,Instagram_Posts!A:A,$A192,Instagram_Posts!B:B,$B192))</f>
        <v/>
      </c>
      <c r="P192" s="7" t="str">
        <f>IF($A192="","",SUMIFS(Blog!E:E,Blog!B:B,$A192,Blog!C:C,$B192))</f>
        <v/>
      </c>
      <c r="Q192" s="7" t="str">
        <f>IF($A192="","",COUNTIFS(LinkedIn_Posts!A:A,$A192,LinkedIn_Posts!B:B,$B192))</f>
        <v/>
      </c>
      <c r="R192" s="7" t="str">
        <f>IF($A192="","",SUMIFS(LinkedIn_Posts!F:F,LinkedIn_Posts!A:A,$A192,LinkedIn_Posts!B:B,$B192))</f>
        <v/>
      </c>
      <c r="S192" s="7" t="str">
        <f>IF($A192="","",SUMIFS(LinkedIn_Posts!G:G,LinkedIn_Posts!A:A,$A192,LinkedIn_Posts!B:B,$B192))</f>
        <v/>
      </c>
      <c r="T192" s="7" t="str">
        <f>IF($A192="","",SUMIFS(LinkedIn_Posts!H:H,LinkedIn_Posts!A:A,$A192,LinkedIn_Posts!B:B,$B192))</f>
        <v/>
      </c>
      <c r="U192" s="7" t="str">
        <f>IF($A192="","",SUMIFS(LinkedIn_Posts!I:I,LinkedIn_Posts!A:A,$A192,LinkedIn_Posts!B:B,$B192))</f>
        <v/>
      </c>
    </row>
    <row r="193">
      <c r="A193" s="7" t="s">
        <v>47</v>
      </c>
      <c r="B193" s="7" t="s">
        <v>47</v>
      </c>
      <c r="C193" s="7" t="s">
        <v>47</v>
      </c>
      <c r="D193" s="7" t="str">
        <f>IF($A193="","",SUMIFS(YouTube_Long!G:G,YouTube_Long!A:A,$A193,YouTube_Long!B:B,$B193))</f>
        <v/>
      </c>
      <c r="E193" s="7" t="str">
        <f>IF($A193="","",SUMIFS(YouTube_Long!H:H,YouTube_Long!A:A,$A193,YouTube_Long!B:B,$B193))</f>
        <v/>
      </c>
      <c r="F193" s="7" t="str">
        <f>IF($A193="","",SUMIFS(YouTube_Long!I:I,YouTube_Long!A:A,$A193,YouTube_Long!B:B,$B193))</f>
        <v/>
      </c>
      <c r="G193" s="7" t="str">
        <f>IF($A193="","",COUNTIFS(YouTube_Shorts!A:A,$A193,YouTube_Shorts!B:B,$B193))</f>
        <v/>
      </c>
      <c r="H193" s="7" t="str">
        <f>IF($A193="","",SUMIFS(YouTube_Shorts!F:F,YouTube_Shorts!A:A,$A193,YouTube_Shorts!B:B,$B193))</f>
        <v/>
      </c>
      <c r="I193" s="7" t="str">
        <f>IF($A193="","",SUMIFS(YouTube_Shorts!G:G,YouTube_Shorts!A:A,$A193,YouTube_Shorts!B:B,$B193))</f>
        <v/>
      </c>
      <c r="J193" s="7" t="str">
        <f t="shared" si="1"/>
        <v/>
      </c>
      <c r="K193" s="7" t="str">
        <f>IF($A193="","",SUMIFS(Audio!D:D,Audio!A:A,$A193,Audio!B:B,$B193))</f>
        <v/>
      </c>
      <c r="L193" s="7" t="str">
        <f>IF($A193="","",COUNTIFS(TikTok_Posts!A:A,$A193,TikTok_Posts!B:B,$B193))</f>
        <v/>
      </c>
      <c r="M193" s="7" t="str">
        <f>IF($A193="","",SUMIFS(TikTok_Posts!E:E,TikTok_Posts!A:A,$A193,TikTok_Posts!B:B,$B193))</f>
        <v/>
      </c>
      <c r="N193" s="7" t="str">
        <f>IF($A193="","",COUNTIFS(Instagram_Posts!A:A,$A193,Instagram_Posts!B:B,$B193))</f>
        <v/>
      </c>
      <c r="O193" s="7" t="str">
        <f>IF($A193="","",SUMIFS(Instagram_Posts!E:E,Instagram_Posts!A:A,$A193,Instagram_Posts!B:B,$B193))</f>
        <v/>
      </c>
      <c r="P193" s="7" t="str">
        <f>IF($A193="","",SUMIFS(Blog!E:E,Blog!B:B,$A193,Blog!C:C,$B193))</f>
        <v/>
      </c>
      <c r="Q193" s="7" t="str">
        <f>IF($A193="","",COUNTIFS(LinkedIn_Posts!A:A,$A193,LinkedIn_Posts!B:B,$B193))</f>
        <v/>
      </c>
      <c r="R193" s="7" t="str">
        <f>IF($A193="","",SUMIFS(LinkedIn_Posts!F:F,LinkedIn_Posts!A:A,$A193,LinkedIn_Posts!B:B,$B193))</f>
        <v/>
      </c>
      <c r="S193" s="7" t="str">
        <f>IF($A193="","",SUMIFS(LinkedIn_Posts!G:G,LinkedIn_Posts!A:A,$A193,LinkedIn_Posts!B:B,$B193))</f>
        <v/>
      </c>
      <c r="T193" s="7" t="str">
        <f>IF($A193="","",SUMIFS(LinkedIn_Posts!H:H,LinkedIn_Posts!A:A,$A193,LinkedIn_Posts!B:B,$B193))</f>
        <v/>
      </c>
      <c r="U193" s="7" t="str">
        <f>IF($A193="","",SUMIFS(LinkedIn_Posts!I:I,LinkedIn_Posts!A:A,$A193,LinkedIn_Posts!B:B,$B193))</f>
        <v/>
      </c>
    </row>
    <row r="194">
      <c r="A194" s="7" t="s">
        <v>47</v>
      </c>
      <c r="B194" s="7" t="s">
        <v>47</v>
      </c>
      <c r="C194" s="7" t="s">
        <v>47</v>
      </c>
      <c r="D194" s="7" t="str">
        <f>IF($A194="","",SUMIFS(YouTube_Long!G:G,YouTube_Long!A:A,$A194,YouTube_Long!B:B,$B194))</f>
        <v/>
      </c>
      <c r="E194" s="7" t="str">
        <f>IF($A194="","",SUMIFS(YouTube_Long!H:H,YouTube_Long!A:A,$A194,YouTube_Long!B:B,$B194))</f>
        <v/>
      </c>
      <c r="F194" s="7" t="str">
        <f>IF($A194="","",SUMIFS(YouTube_Long!I:I,YouTube_Long!A:A,$A194,YouTube_Long!B:B,$B194))</f>
        <v/>
      </c>
      <c r="G194" s="7" t="str">
        <f>IF($A194="","",COUNTIFS(YouTube_Shorts!A:A,$A194,YouTube_Shorts!B:B,$B194))</f>
        <v/>
      </c>
      <c r="H194" s="7" t="str">
        <f>IF($A194="","",SUMIFS(YouTube_Shorts!F:F,YouTube_Shorts!A:A,$A194,YouTube_Shorts!B:B,$B194))</f>
        <v/>
      </c>
      <c r="I194" s="7" t="str">
        <f>IF($A194="","",SUMIFS(YouTube_Shorts!G:G,YouTube_Shorts!A:A,$A194,YouTube_Shorts!B:B,$B194))</f>
        <v/>
      </c>
      <c r="J194" s="7" t="str">
        <f t="shared" si="1"/>
        <v/>
      </c>
      <c r="K194" s="7" t="str">
        <f>IF($A194="","",SUMIFS(Audio!D:D,Audio!A:A,$A194,Audio!B:B,$B194))</f>
        <v/>
      </c>
      <c r="L194" s="7" t="str">
        <f>IF($A194="","",COUNTIFS(TikTok_Posts!A:A,$A194,TikTok_Posts!B:B,$B194))</f>
        <v/>
      </c>
      <c r="M194" s="7" t="str">
        <f>IF($A194="","",SUMIFS(TikTok_Posts!E:E,TikTok_Posts!A:A,$A194,TikTok_Posts!B:B,$B194))</f>
        <v/>
      </c>
      <c r="N194" s="7" t="str">
        <f>IF($A194="","",COUNTIFS(Instagram_Posts!A:A,$A194,Instagram_Posts!B:B,$B194))</f>
        <v/>
      </c>
      <c r="O194" s="7" t="str">
        <f>IF($A194="","",SUMIFS(Instagram_Posts!E:E,Instagram_Posts!A:A,$A194,Instagram_Posts!B:B,$B194))</f>
        <v/>
      </c>
      <c r="P194" s="7" t="str">
        <f>IF($A194="","",SUMIFS(Blog!E:E,Blog!B:B,$A194,Blog!C:C,$B194))</f>
        <v/>
      </c>
      <c r="Q194" s="7" t="str">
        <f>IF($A194="","",COUNTIFS(LinkedIn_Posts!A:A,$A194,LinkedIn_Posts!B:B,$B194))</f>
        <v/>
      </c>
      <c r="R194" s="7" t="str">
        <f>IF($A194="","",SUMIFS(LinkedIn_Posts!F:F,LinkedIn_Posts!A:A,$A194,LinkedIn_Posts!B:B,$B194))</f>
        <v/>
      </c>
      <c r="S194" s="7" t="str">
        <f>IF($A194="","",SUMIFS(LinkedIn_Posts!G:G,LinkedIn_Posts!A:A,$A194,LinkedIn_Posts!B:B,$B194))</f>
        <v/>
      </c>
      <c r="T194" s="7" t="str">
        <f>IF($A194="","",SUMIFS(LinkedIn_Posts!H:H,LinkedIn_Posts!A:A,$A194,LinkedIn_Posts!B:B,$B194))</f>
        <v/>
      </c>
      <c r="U194" s="7" t="str">
        <f>IF($A194="","",SUMIFS(LinkedIn_Posts!I:I,LinkedIn_Posts!A:A,$A194,LinkedIn_Posts!B:B,$B194))</f>
        <v/>
      </c>
    </row>
    <row r="195">
      <c r="A195" s="7" t="s">
        <v>47</v>
      </c>
      <c r="B195" s="7" t="s">
        <v>47</v>
      </c>
      <c r="C195" s="7" t="s">
        <v>47</v>
      </c>
      <c r="D195" s="7" t="str">
        <f>IF($A195="","",SUMIFS(YouTube_Long!G:G,YouTube_Long!A:A,$A195,YouTube_Long!B:B,$B195))</f>
        <v/>
      </c>
      <c r="E195" s="7" t="str">
        <f>IF($A195="","",SUMIFS(YouTube_Long!H:H,YouTube_Long!A:A,$A195,YouTube_Long!B:B,$B195))</f>
        <v/>
      </c>
      <c r="F195" s="7" t="str">
        <f>IF($A195="","",SUMIFS(YouTube_Long!I:I,YouTube_Long!A:A,$A195,YouTube_Long!B:B,$B195))</f>
        <v/>
      </c>
      <c r="G195" s="7" t="str">
        <f>IF($A195="","",COUNTIFS(YouTube_Shorts!A:A,$A195,YouTube_Shorts!B:B,$B195))</f>
        <v/>
      </c>
      <c r="H195" s="7" t="str">
        <f>IF($A195="","",SUMIFS(YouTube_Shorts!F:F,YouTube_Shorts!A:A,$A195,YouTube_Shorts!B:B,$B195))</f>
        <v/>
      </c>
      <c r="I195" s="7" t="str">
        <f>IF($A195="","",SUMIFS(YouTube_Shorts!G:G,YouTube_Shorts!A:A,$A195,YouTube_Shorts!B:B,$B195))</f>
        <v/>
      </c>
      <c r="J195" s="7" t="str">
        <f t="shared" si="1"/>
        <v/>
      </c>
      <c r="K195" s="7" t="str">
        <f>IF($A195="","",SUMIFS(Audio!D:D,Audio!A:A,$A195,Audio!B:B,$B195))</f>
        <v/>
      </c>
      <c r="L195" s="7" t="str">
        <f>IF($A195="","",COUNTIFS(TikTok_Posts!A:A,$A195,TikTok_Posts!B:B,$B195))</f>
        <v/>
      </c>
      <c r="M195" s="7" t="str">
        <f>IF($A195="","",SUMIFS(TikTok_Posts!E:E,TikTok_Posts!A:A,$A195,TikTok_Posts!B:B,$B195))</f>
        <v/>
      </c>
      <c r="N195" s="7" t="str">
        <f>IF($A195="","",COUNTIFS(Instagram_Posts!A:A,$A195,Instagram_Posts!B:B,$B195))</f>
        <v/>
      </c>
      <c r="O195" s="7" t="str">
        <f>IF($A195="","",SUMIFS(Instagram_Posts!E:E,Instagram_Posts!A:A,$A195,Instagram_Posts!B:B,$B195))</f>
        <v/>
      </c>
      <c r="P195" s="7" t="str">
        <f>IF($A195="","",SUMIFS(Blog!E:E,Blog!B:B,$A195,Blog!C:C,$B195))</f>
        <v/>
      </c>
      <c r="Q195" s="7" t="str">
        <f>IF($A195="","",COUNTIFS(LinkedIn_Posts!A:A,$A195,LinkedIn_Posts!B:B,$B195))</f>
        <v/>
      </c>
      <c r="R195" s="7" t="str">
        <f>IF($A195="","",SUMIFS(LinkedIn_Posts!F:F,LinkedIn_Posts!A:A,$A195,LinkedIn_Posts!B:B,$B195))</f>
        <v/>
      </c>
      <c r="S195" s="7" t="str">
        <f>IF($A195="","",SUMIFS(LinkedIn_Posts!G:G,LinkedIn_Posts!A:A,$A195,LinkedIn_Posts!B:B,$B195))</f>
        <v/>
      </c>
      <c r="T195" s="7" t="str">
        <f>IF($A195="","",SUMIFS(LinkedIn_Posts!H:H,LinkedIn_Posts!A:A,$A195,LinkedIn_Posts!B:B,$B195))</f>
        <v/>
      </c>
      <c r="U195" s="7" t="str">
        <f>IF($A195="","",SUMIFS(LinkedIn_Posts!I:I,LinkedIn_Posts!A:A,$A195,LinkedIn_Posts!B:B,$B195))</f>
        <v/>
      </c>
    </row>
    <row r="196">
      <c r="A196" s="7" t="s">
        <v>47</v>
      </c>
      <c r="B196" s="7" t="s">
        <v>47</v>
      </c>
      <c r="C196" s="7" t="s">
        <v>47</v>
      </c>
      <c r="D196" s="7" t="str">
        <f>IF($A196="","",SUMIFS(YouTube_Long!G:G,YouTube_Long!A:A,$A196,YouTube_Long!B:B,$B196))</f>
        <v/>
      </c>
      <c r="E196" s="7" t="str">
        <f>IF($A196="","",SUMIFS(YouTube_Long!H:H,YouTube_Long!A:A,$A196,YouTube_Long!B:B,$B196))</f>
        <v/>
      </c>
      <c r="F196" s="7" t="str">
        <f>IF($A196="","",SUMIFS(YouTube_Long!I:I,YouTube_Long!A:A,$A196,YouTube_Long!B:B,$B196))</f>
        <v/>
      </c>
      <c r="G196" s="7" t="str">
        <f>IF($A196="","",COUNTIFS(YouTube_Shorts!A:A,$A196,YouTube_Shorts!B:B,$B196))</f>
        <v/>
      </c>
      <c r="H196" s="7" t="str">
        <f>IF($A196="","",SUMIFS(YouTube_Shorts!F:F,YouTube_Shorts!A:A,$A196,YouTube_Shorts!B:B,$B196))</f>
        <v/>
      </c>
      <c r="I196" s="7" t="str">
        <f>IF($A196="","",SUMIFS(YouTube_Shorts!G:G,YouTube_Shorts!A:A,$A196,YouTube_Shorts!B:B,$B196))</f>
        <v/>
      </c>
      <c r="J196" s="7" t="str">
        <f t="shared" si="1"/>
        <v/>
      </c>
      <c r="K196" s="7" t="str">
        <f>IF($A196="","",SUMIFS(Audio!D:D,Audio!A:A,$A196,Audio!B:B,$B196))</f>
        <v/>
      </c>
      <c r="L196" s="7" t="str">
        <f>IF($A196="","",COUNTIFS(TikTok_Posts!A:A,$A196,TikTok_Posts!B:B,$B196))</f>
        <v/>
      </c>
      <c r="M196" s="7" t="str">
        <f>IF($A196="","",SUMIFS(TikTok_Posts!E:E,TikTok_Posts!A:A,$A196,TikTok_Posts!B:B,$B196))</f>
        <v/>
      </c>
      <c r="N196" s="7" t="str">
        <f>IF($A196="","",COUNTIFS(Instagram_Posts!A:A,$A196,Instagram_Posts!B:B,$B196))</f>
        <v/>
      </c>
      <c r="O196" s="7" t="str">
        <f>IF($A196="","",SUMIFS(Instagram_Posts!E:E,Instagram_Posts!A:A,$A196,Instagram_Posts!B:B,$B196))</f>
        <v/>
      </c>
      <c r="P196" s="7" t="str">
        <f>IF($A196="","",SUMIFS(Blog!E:E,Blog!B:B,$A196,Blog!C:C,$B196))</f>
        <v/>
      </c>
      <c r="Q196" s="7" t="str">
        <f>IF($A196="","",COUNTIFS(LinkedIn_Posts!A:A,$A196,LinkedIn_Posts!B:B,$B196))</f>
        <v/>
      </c>
      <c r="R196" s="7" t="str">
        <f>IF($A196="","",SUMIFS(LinkedIn_Posts!F:F,LinkedIn_Posts!A:A,$A196,LinkedIn_Posts!B:B,$B196))</f>
        <v/>
      </c>
      <c r="S196" s="7" t="str">
        <f>IF($A196="","",SUMIFS(LinkedIn_Posts!G:G,LinkedIn_Posts!A:A,$A196,LinkedIn_Posts!B:B,$B196))</f>
        <v/>
      </c>
      <c r="T196" s="7" t="str">
        <f>IF($A196="","",SUMIFS(LinkedIn_Posts!H:H,LinkedIn_Posts!A:A,$A196,LinkedIn_Posts!B:B,$B196))</f>
        <v/>
      </c>
      <c r="U196" s="7" t="str">
        <f>IF($A196="","",SUMIFS(LinkedIn_Posts!I:I,LinkedIn_Posts!A:A,$A196,LinkedIn_Posts!B:B,$B196))</f>
        <v/>
      </c>
    </row>
    <row r="197">
      <c r="A197" s="7" t="s">
        <v>47</v>
      </c>
      <c r="B197" s="7" t="s">
        <v>47</v>
      </c>
      <c r="C197" s="7" t="s">
        <v>47</v>
      </c>
      <c r="D197" s="7" t="str">
        <f>IF($A197="","",SUMIFS(YouTube_Long!G:G,YouTube_Long!A:A,$A197,YouTube_Long!B:B,$B197))</f>
        <v/>
      </c>
      <c r="E197" s="7" t="str">
        <f>IF($A197="","",SUMIFS(YouTube_Long!H:H,YouTube_Long!A:A,$A197,YouTube_Long!B:B,$B197))</f>
        <v/>
      </c>
      <c r="F197" s="7" t="str">
        <f>IF($A197="","",SUMIFS(YouTube_Long!I:I,YouTube_Long!A:A,$A197,YouTube_Long!B:B,$B197))</f>
        <v/>
      </c>
      <c r="G197" s="7" t="str">
        <f>IF($A197="","",COUNTIFS(YouTube_Shorts!A:A,$A197,YouTube_Shorts!B:B,$B197))</f>
        <v/>
      </c>
      <c r="H197" s="7" t="str">
        <f>IF($A197="","",SUMIFS(YouTube_Shorts!F:F,YouTube_Shorts!A:A,$A197,YouTube_Shorts!B:B,$B197))</f>
        <v/>
      </c>
      <c r="I197" s="7" t="str">
        <f>IF($A197="","",SUMIFS(YouTube_Shorts!G:G,YouTube_Shorts!A:A,$A197,YouTube_Shorts!B:B,$B197))</f>
        <v/>
      </c>
      <c r="J197" s="7" t="str">
        <f t="shared" si="1"/>
        <v/>
      </c>
      <c r="K197" s="7" t="str">
        <f>IF($A197="","",SUMIFS(Audio!D:D,Audio!A:A,$A197,Audio!B:B,$B197))</f>
        <v/>
      </c>
      <c r="L197" s="7" t="str">
        <f>IF($A197="","",COUNTIFS(TikTok_Posts!A:A,$A197,TikTok_Posts!B:B,$B197))</f>
        <v/>
      </c>
      <c r="M197" s="7" t="str">
        <f>IF($A197="","",SUMIFS(TikTok_Posts!E:E,TikTok_Posts!A:A,$A197,TikTok_Posts!B:B,$B197))</f>
        <v/>
      </c>
      <c r="N197" s="7" t="str">
        <f>IF($A197="","",COUNTIFS(Instagram_Posts!A:A,$A197,Instagram_Posts!B:B,$B197))</f>
        <v/>
      </c>
      <c r="O197" s="7" t="str">
        <f>IF($A197="","",SUMIFS(Instagram_Posts!E:E,Instagram_Posts!A:A,$A197,Instagram_Posts!B:B,$B197))</f>
        <v/>
      </c>
      <c r="P197" s="7" t="str">
        <f>IF($A197="","",SUMIFS(Blog!E:E,Blog!B:B,$A197,Blog!C:C,$B197))</f>
        <v/>
      </c>
      <c r="Q197" s="7" t="str">
        <f>IF($A197="","",COUNTIFS(LinkedIn_Posts!A:A,$A197,LinkedIn_Posts!B:B,$B197))</f>
        <v/>
      </c>
      <c r="R197" s="7" t="str">
        <f>IF($A197="","",SUMIFS(LinkedIn_Posts!F:F,LinkedIn_Posts!A:A,$A197,LinkedIn_Posts!B:B,$B197))</f>
        <v/>
      </c>
      <c r="S197" s="7" t="str">
        <f>IF($A197="","",SUMIFS(LinkedIn_Posts!G:G,LinkedIn_Posts!A:A,$A197,LinkedIn_Posts!B:B,$B197))</f>
        <v/>
      </c>
      <c r="T197" s="7" t="str">
        <f>IF($A197="","",SUMIFS(LinkedIn_Posts!H:H,LinkedIn_Posts!A:A,$A197,LinkedIn_Posts!B:B,$B197))</f>
        <v/>
      </c>
      <c r="U197" s="7" t="str">
        <f>IF($A197="","",SUMIFS(LinkedIn_Posts!I:I,LinkedIn_Posts!A:A,$A197,LinkedIn_Posts!B:B,$B197))</f>
        <v/>
      </c>
    </row>
    <row r="198">
      <c r="A198" s="7" t="s">
        <v>47</v>
      </c>
      <c r="B198" s="7" t="s">
        <v>47</v>
      </c>
      <c r="C198" s="7" t="s">
        <v>47</v>
      </c>
      <c r="D198" s="7" t="str">
        <f>IF($A198="","",SUMIFS(YouTube_Long!G:G,YouTube_Long!A:A,$A198,YouTube_Long!B:B,$B198))</f>
        <v/>
      </c>
      <c r="E198" s="7" t="str">
        <f>IF($A198="","",SUMIFS(YouTube_Long!H:H,YouTube_Long!A:A,$A198,YouTube_Long!B:B,$B198))</f>
        <v/>
      </c>
      <c r="F198" s="7" t="str">
        <f>IF($A198="","",SUMIFS(YouTube_Long!I:I,YouTube_Long!A:A,$A198,YouTube_Long!B:B,$B198))</f>
        <v/>
      </c>
      <c r="G198" s="7" t="str">
        <f>IF($A198="","",COUNTIFS(YouTube_Shorts!A:A,$A198,YouTube_Shorts!B:B,$B198))</f>
        <v/>
      </c>
      <c r="H198" s="7" t="str">
        <f>IF($A198="","",SUMIFS(YouTube_Shorts!F:F,YouTube_Shorts!A:A,$A198,YouTube_Shorts!B:B,$B198))</f>
        <v/>
      </c>
      <c r="I198" s="7" t="str">
        <f>IF($A198="","",SUMIFS(YouTube_Shorts!G:G,YouTube_Shorts!A:A,$A198,YouTube_Shorts!B:B,$B198))</f>
        <v/>
      </c>
      <c r="J198" s="7" t="str">
        <f t="shared" si="1"/>
        <v/>
      </c>
      <c r="K198" s="7" t="str">
        <f>IF($A198="","",SUMIFS(Audio!D:D,Audio!A:A,$A198,Audio!B:B,$B198))</f>
        <v/>
      </c>
      <c r="L198" s="7" t="str">
        <f>IF($A198="","",COUNTIFS(TikTok_Posts!A:A,$A198,TikTok_Posts!B:B,$B198))</f>
        <v/>
      </c>
      <c r="M198" s="7" t="str">
        <f>IF($A198="","",SUMIFS(TikTok_Posts!E:E,TikTok_Posts!A:A,$A198,TikTok_Posts!B:B,$B198))</f>
        <v/>
      </c>
      <c r="N198" s="7" t="str">
        <f>IF($A198="","",COUNTIFS(Instagram_Posts!A:A,$A198,Instagram_Posts!B:B,$B198))</f>
        <v/>
      </c>
      <c r="O198" s="7" t="str">
        <f>IF($A198="","",SUMIFS(Instagram_Posts!E:E,Instagram_Posts!A:A,$A198,Instagram_Posts!B:B,$B198))</f>
        <v/>
      </c>
      <c r="P198" s="7" t="str">
        <f>IF($A198="","",SUMIFS(Blog!E:E,Blog!B:B,$A198,Blog!C:C,$B198))</f>
        <v/>
      </c>
      <c r="Q198" s="7" t="str">
        <f>IF($A198="","",COUNTIFS(LinkedIn_Posts!A:A,$A198,LinkedIn_Posts!B:B,$B198))</f>
        <v/>
      </c>
      <c r="R198" s="7" t="str">
        <f>IF($A198="","",SUMIFS(LinkedIn_Posts!F:F,LinkedIn_Posts!A:A,$A198,LinkedIn_Posts!B:B,$B198))</f>
        <v/>
      </c>
      <c r="S198" s="7" t="str">
        <f>IF($A198="","",SUMIFS(LinkedIn_Posts!G:G,LinkedIn_Posts!A:A,$A198,LinkedIn_Posts!B:B,$B198))</f>
        <v/>
      </c>
      <c r="T198" s="7" t="str">
        <f>IF($A198="","",SUMIFS(LinkedIn_Posts!H:H,LinkedIn_Posts!A:A,$A198,LinkedIn_Posts!B:B,$B198))</f>
        <v/>
      </c>
      <c r="U198" s="7" t="str">
        <f>IF($A198="","",SUMIFS(LinkedIn_Posts!I:I,LinkedIn_Posts!A:A,$A198,LinkedIn_Posts!B:B,$B198))</f>
        <v/>
      </c>
    </row>
    <row r="199">
      <c r="A199" s="7" t="s">
        <v>47</v>
      </c>
      <c r="B199" s="7" t="s">
        <v>47</v>
      </c>
      <c r="C199" s="7" t="s">
        <v>47</v>
      </c>
      <c r="D199" s="7" t="str">
        <f>IF($A199="","",SUMIFS(YouTube_Long!G:G,YouTube_Long!A:A,$A199,YouTube_Long!B:B,$B199))</f>
        <v/>
      </c>
      <c r="E199" s="7" t="str">
        <f>IF($A199="","",SUMIFS(YouTube_Long!H:H,YouTube_Long!A:A,$A199,YouTube_Long!B:B,$B199))</f>
        <v/>
      </c>
      <c r="F199" s="7" t="str">
        <f>IF($A199="","",SUMIFS(YouTube_Long!I:I,YouTube_Long!A:A,$A199,YouTube_Long!B:B,$B199))</f>
        <v/>
      </c>
      <c r="G199" s="7" t="str">
        <f>IF($A199="","",COUNTIFS(YouTube_Shorts!A:A,$A199,YouTube_Shorts!B:B,$B199))</f>
        <v/>
      </c>
      <c r="H199" s="7" t="str">
        <f>IF($A199="","",SUMIFS(YouTube_Shorts!F:F,YouTube_Shorts!A:A,$A199,YouTube_Shorts!B:B,$B199))</f>
        <v/>
      </c>
      <c r="I199" s="7" t="str">
        <f>IF($A199="","",SUMIFS(YouTube_Shorts!G:G,YouTube_Shorts!A:A,$A199,YouTube_Shorts!B:B,$B199))</f>
        <v/>
      </c>
      <c r="J199" s="7" t="str">
        <f t="shared" si="1"/>
        <v/>
      </c>
      <c r="K199" s="7" t="str">
        <f>IF($A199="","",SUMIFS(Audio!D:D,Audio!A:A,$A199,Audio!B:B,$B199))</f>
        <v/>
      </c>
      <c r="L199" s="7" t="str">
        <f>IF($A199="","",COUNTIFS(TikTok_Posts!A:A,$A199,TikTok_Posts!B:B,$B199))</f>
        <v/>
      </c>
      <c r="M199" s="7" t="str">
        <f>IF($A199="","",SUMIFS(TikTok_Posts!E:E,TikTok_Posts!A:A,$A199,TikTok_Posts!B:B,$B199))</f>
        <v/>
      </c>
      <c r="N199" s="7" t="str">
        <f>IF($A199="","",COUNTIFS(Instagram_Posts!A:A,$A199,Instagram_Posts!B:B,$B199))</f>
        <v/>
      </c>
      <c r="O199" s="7" t="str">
        <f>IF($A199="","",SUMIFS(Instagram_Posts!E:E,Instagram_Posts!A:A,$A199,Instagram_Posts!B:B,$B199))</f>
        <v/>
      </c>
      <c r="P199" s="7" t="str">
        <f>IF($A199="","",SUMIFS(Blog!E:E,Blog!B:B,$A199,Blog!C:C,$B199))</f>
        <v/>
      </c>
      <c r="Q199" s="7" t="str">
        <f>IF($A199="","",COUNTIFS(LinkedIn_Posts!A:A,$A199,LinkedIn_Posts!B:B,$B199))</f>
        <v/>
      </c>
      <c r="R199" s="7" t="str">
        <f>IF($A199="","",SUMIFS(LinkedIn_Posts!F:F,LinkedIn_Posts!A:A,$A199,LinkedIn_Posts!B:B,$B199))</f>
        <v/>
      </c>
      <c r="S199" s="7" t="str">
        <f>IF($A199="","",SUMIFS(LinkedIn_Posts!G:G,LinkedIn_Posts!A:A,$A199,LinkedIn_Posts!B:B,$B199))</f>
        <v/>
      </c>
      <c r="T199" s="7" t="str">
        <f>IF($A199="","",SUMIFS(LinkedIn_Posts!H:H,LinkedIn_Posts!A:A,$A199,LinkedIn_Posts!B:B,$B199))</f>
        <v/>
      </c>
      <c r="U199" s="7" t="str">
        <f>IF($A199="","",SUMIFS(LinkedIn_Posts!I:I,LinkedIn_Posts!A:A,$A199,LinkedIn_Posts!B:B,$B199))</f>
        <v/>
      </c>
    </row>
    <row r="200">
      <c r="A200" s="7" t="s">
        <v>47</v>
      </c>
      <c r="B200" s="7" t="s">
        <v>47</v>
      </c>
      <c r="C200" s="7" t="s">
        <v>47</v>
      </c>
      <c r="D200" s="7" t="str">
        <f>IF($A200="","",SUMIFS(YouTube_Long!G:G,YouTube_Long!A:A,$A200,YouTube_Long!B:B,$B200))</f>
        <v/>
      </c>
      <c r="E200" s="7" t="str">
        <f>IF($A200="","",SUMIFS(YouTube_Long!H:H,YouTube_Long!A:A,$A200,YouTube_Long!B:B,$B200))</f>
        <v/>
      </c>
      <c r="F200" s="7" t="str">
        <f>IF($A200="","",SUMIFS(YouTube_Long!I:I,YouTube_Long!A:A,$A200,YouTube_Long!B:B,$B200))</f>
        <v/>
      </c>
      <c r="G200" s="7" t="str">
        <f>IF($A200="","",COUNTIFS(YouTube_Shorts!A:A,$A200,YouTube_Shorts!B:B,$B200))</f>
        <v/>
      </c>
      <c r="H200" s="7" t="str">
        <f>IF($A200="","",SUMIFS(YouTube_Shorts!F:F,YouTube_Shorts!A:A,$A200,YouTube_Shorts!B:B,$B200))</f>
        <v/>
      </c>
      <c r="I200" s="7" t="str">
        <f>IF($A200="","",SUMIFS(YouTube_Shorts!G:G,YouTube_Shorts!A:A,$A200,YouTube_Shorts!B:B,$B200))</f>
        <v/>
      </c>
      <c r="J200" s="7" t="str">
        <f t="shared" si="1"/>
        <v/>
      </c>
      <c r="K200" s="7" t="str">
        <f>IF($A200="","",SUMIFS(Audio!D:D,Audio!A:A,$A200,Audio!B:B,$B200))</f>
        <v/>
      </c>
      <c r="L200" s="7" t="str">
        <f>IF($A200="","",COUNTIFS(TikTok_Posts!A:A,$A200,TikTok_Posts!B:B,$B200))</f>
        <v/>
      </c>
      <c r="M200" s="7" t="str">
        <f>IF($A200="","",SUMIFS(TikTok_Posts!E:E,TikTok_Posts!A:A,$A200,TikTok_Posts!B:B,$B200))</f>
        <v/>
      </c>
      <c r="N200" s="7" t="str">
        <f>IF($A200="","",COUNTIFS(Instagram_Posts!A:A,$A200,Instagram_Posts!B:B,$B200))</f>
        <v/>
      </c>
      <c r="O200" s="7" t="str">
        <f>IF($A200="","",SUMIFS(Instagram_Posts!E:E,Instagram_Posts!A:A,$A200,Instagram_Posts!B:B,$B200))</f>
        <v/>
      </c>
      <c r="P200" s="7" t="str">
        <f>IF($A200="","",SUMIFS(Blog!E:E,Blog!B:B,$A200,Blog!C:C,$B200))</f>
        <v/>
      </c>
      <c r="Q200" s="7" t="str">
        <f>IF($A200="","",COUNTIFS(LinkedIn_Posts!A:A,$A200,LinkedIn_Posts!B:B,$B200))</f>
        <v/>
      </c>
      <c r="R200" s="7" t="str">
        <f>IF($A200="","",SUMIFS(LinkedIn_Posts!F:F,LinkedIn_Posts!A:A,$A200,LinkedIn_Posts!B:B,$B200))</f>
        <v/>
      </c>
      <c r="S200" s="7" t="str">
        <f>IF($A200="","",SUMIFS(LinkedIn_Posts!G:G,LinkedIn_Posts!A:A,$A200,LinkedIn_Posts!B:B,$B200))</f>
        <v/>
      </c>
      <c r="T200" s="7" t="str">
        <f>IF($A200="","",SUMIFS(LinkedIn_Posts!H:H,LinkedIn_Posts!A:A,$A200,LinkedIn_Posts!B:B,$B200))</f>
        <v/>
      </c>
      <c r="U200" s="7" t="str">
        <f>IF($A200="","",SUMIFS(LinkedIn_Posts!I:I,LinkedIn_Posts!A:A,$A200,LinkedIn_Posts!B:B,$B200))</f>
        <v/>
      </c>
    </row>
    <row r="201">
      <c r="A201" s="7" t="s">
        <v>47</v>
      </c>
      <c r="B201" s="7" t="s">
        <v>47</v>
      </c>
      <c r="C201" s="7" t="s">
        <v>47</v>
      </c>
      <c r="D201" s="7" t="str">
        <f>IF($A201="","",SUMIFS(YouTube_Long!G:G,YouTube_Long!A:A,$A201,YouTube_Long!B:B,$B201))</f>
        <v/>
      </c>
      <c r="E201" s="7" t="str">
        <f>IF($A201="","",SUMIFS(YouTube_Long!H:H,YouTube_Long!A:A,$A201,YouTube_Long!B:B,$B201))</f>
        <v/>
      </c>
      <c r="F201" s="7" t="str">
        <f>IF($A201="","",SUMIFS(YouTube_Long!I:I,YouTube_Long!A:A,$A201,YouTube_Long!B:B,$B201))</f>
        <v/>
      </c>
      <c r="G201" s="7" t="str">
        <f>IF($A201="","",COUNTIFS(YouTube_Shorts!A:A,$A201,YouTube_Shorts!B:B,$B201))</f>
        <v/>
      </c>
      <c r="H201" s="7" t="str">
        <f>IF($A201="","",SUMIFS(YouTube_Shorts!F:F,YouTube_Shorts!A:A,$A201,YouTube_Shorts!B:B,$B201))</f>
        <v/>
      </c>
      <c r="I201" s="7" t="str">
        <f>IF($A201="","",SUMIFS(YouTube_Shorts!G:G,YouTube_Shorts!A:A,$A201,YouTube_Shorts!B:B,$B201))</f>
        <v/>
      </c>
      <c r="J201" s="7" t="str">
        <f t="shared" si="1"/>
        <v/>
      </c>
      <c r="K201" s="7" t="str">
        <f>IF($A201="","",SUMIFS(Audio!D:D,Audio!A:A,$A201,Audio!B:B,$B201))</f>
        <v/>
      </c>
      <c r="L201" s="7" t="str">
        <f>IF($A201="","",COUNTIFS(TikTok_Posts!A:A,$A201,TikTok_Posts!B:B,$B201))</f>
        <v/>
      </c>
      <c r="M201" s="7" t="str">
        <f>IF($A201="","",SUMIFS(TikTok_Posts!E:E,TikTok_Posts!A:A,$A201,TikTok_Posts!B:B,$B201))</f>
        <v/>
      </c>
      <c r="N201" s="7" t="str">
        <f>IF($A201="","",COUNTIFS(Instagram_Posts!A:A,$A201,Instagram_Posts!B:B,$B201))</f>
        <v/>
      </c>
      <c r="O201" s="7" t="str">
        <f>IF($A201="","",SUMIFS(Instagram_Posts!E:E,Instagram_Posts!A:A,$A201,Instagram_Posts!B:B,$B201))</f>
        <v/>
      </c>
      <c r="P201" s="7" t="str">
        <f>IF($A201="","",SUMIFS(Blog!E:E,Blog!B:B,$A201,Blog!C:C,$B201))</f>
        <v/>
      </c>
      <c r="Q201" s="7" t="str">
        <f>IF($A201="","",COUNTIFS(LinkedIn_Posts!A:A,$A201,LinkedIn_Posts!B:B,$B201))</f>
        <v/>
      </c>
      <c r="R201" s="7" t="str">
        <f>IF($A201="","",SUMIFS(LinkedIn_Posts!F:F,LinkedIn_Posts!A:A,$A201,LinkedIn_Posts!B:B,$B201))</f>
        <v/>
      </c>
      <c r="S201" s="7" t="str">
        <f>IF($A201="","",SUMIFS(LinkedIn_Posts!G:G,LinkedIn_Posts!A:A,$A201,LinkedIn_Posts!B:B,$B201))</f>
        <v/>
      </c>
      <c r="T201" s="7" t="str">
        <f>IF($A201="","",SUMIFS(LinkedIn_Posts!H:H,LinkedIn_Posts!A:A,$A201,LinkedIn_Posts!B:B,$B201))</f>
        <v/>
      </c>
      <c r="U201" s="7" t="str">
        <f>IF($A201="","",SUMIFS(LinkedIn_Posts!I:I,LinkedIn_Posts!A:A,$A201,LinkedIn_Posts!B:B,$B201))</f>
        <v/>
      </c>
    </row>
    <row r="202">
      <c r="A202" s="7" t="s">
        <v>47</v>
      </c>
      <c r="B202" s="7" t="s">
        <v>47</v>
      </c>
      <c r="C202" s="7" t="s">
        <v>47</v>
      </c>
    </row>
    <row r="203">
      <c r="A203" s="7" t="s">
        <v>47</v>
      </c>
      <c r="B203" s="7" t="s">
        <v>47</v>
      </c>
      <c r="C203" s="7" t="s">
        <v>47</v>
      </c>
    </row>
    <row r="204">
      <c r="A204" s="7" t="s">
        <v>47</v>
      </c>
      <c r="B204" s="7" t="s">
        <v>47</v>
      </c>
      <c r="C204" s="7" t="s">
        <v>47</v>
      </c>
    </row>
    <row r="205">
      <c r="A205" s="7" t="s">
        <v>47</v>
      </c>
      <c r="B205" s="7" t="s">
        <v>47</v>
      </c>
      <c r="C205" s="7" t="s">
        <v>47</v>
      </c>
    </row>
    <row r="206">
      <c r="A206" s="7" t="s">
        <v>47</v>
      </c>
      <c r="B206" s="7" t="s">
        <v>47</v>
      </c>
      <c r="C206" s="7" t="s">
        <v>47</v>
      </c>
    </row>
    <row r="207">
      <c r="A207" s="7" t="s">
        <v>47</v>
      </c>
      <c r="B207" s="7" t="s">
        <v>47</v>
      </c>
      <c r="C207" s="7" t="s">
        <v>47</v>
      </c>
    </row>
    <row r="208">
      <c r="A208" s="7" t="s">
        <v>47</v>
      </c>
      <c r="B208" s="7" t="s">
        <v>47</v>
      </c>
      <c r="C208" s="7" t="s">
        <v>47</v>
      </c>
    </row>
    <row r="209">
      <c r="A209" s="7" t="s">
        <v>47</v>
      </c>
      <c r="B209" s="7" t="s">
        <v>47</v>
      </c>
      <c r="C209" s="7" t="s">
        <v>47</v>
      </c>
    </row>
    <row r="210">
      <c r="A210" s="7" t="s">
        <v>47</v>
      </c>
      <c r="B210" s="7" t="s">
        <v>47</v>
      </c>
      <c r="C210" s="7" t="s">
        <v>47</v>
      </c>
    </row>
    <row r="211">
      <c r="A211" s="7" t="s">
        <v>47</v>
      </c>
      <c r="B211" s="7" t="s">
        <v>47</v>
      </c>
      <c r="C211" s="7" t="s">
        <v>47</v>
      </c>
    </row>
    <row r="212">
      <c r="A212" s="7" t="s">
        <v>47</v>
      </c>
      <c r="B212" s="7" t="s">
        <v>47</v>
      </c>
      <c r="C212" s="7" t="s">
        <v>47</v>
      </c>
    </row>
    <row r="213">
      <c r="A213" s="7" t="s">
        <v>47</v>
      </c>
      <c r="B213" s="7" t="s">
        <v>47</v>
      </c>
      <c r="C213" s="7" t="s">
        <v>47</v>
      </c>
    </row>
    <row r="214">
      <c r="A214" s="7" t="s">
        <v>47</v>
      </c>
      <c r="B214" s="7" t="s">
        <v>47</v>
      </c>
      <c r="C214" s="7" t="s">
        <v>47</v>
      </c>
    </row>
    <row r="215">
      <c r="A215" s="7" t="s">
        <v>47</v>
      </c>
      <c r="B215" s="7" t="s">
        <v>47</v>
      </c>
      <c r="C215" s="7" t="s">
        <v>47</v>
      </c>
    </row>
    <row r="216">
      <c r="A216" s="7" t="s">
        <v>47</v>
      </c>
      <c r="B216" s="7" t="s">
        <v>47</v>
      </c>
      <c r="C216" s="7" t="s">
        <v>47</v>
      </c>
    </row>
    <row r="217">
      <c r="A217" s="7" t="s">
        <v>47</v>
      </c>
      <c r="B217" s="7" t="s">
        <v>47</v>
      </c>
      <c r="C217" s="7" t="s">
        <v>47</v>
      </c>
    </row>
    <row r="218">
      <c r="A218" s="7" t="s">
        <v>47</v>
      </c>
      <c r="B218" s="7" t="s">
        <v>47</v>
      </c>
      <c r="C218" s="7" t="s">
        <v>47</v>
      </c>
    </row>
    <row r="219">
      <c r="A219" s="7" t="s">
        <v>47</v>
      </c>
      <c r="B219" s="7" t="s">
        <v>47</v>
      </c>
      <c r="C219" s="7" t="s">
        <v>47</v>
      </c>
    </row>
    <row r="220">
      <c r="A220" s="7" t="s">
        <v>47</v>
      </c>
      <c r="B220" s="7" t="s">
        <v>47</v>
      </c>
      <c r="C220" s="7" t="s">
        <v>47</v>
      </c>
    </row>
    <row r="221">
      <c r="A221" s="7" t="s">
        <v>47</v>
      </c>
      <c r="B221" s="7" t="s">
        <v>47</v>
      </c>
      <c r="C221" s="7" t="s">
        <v>47</v>
      </c>
    </row>
    <row r="222">
      <c r="A222" s="7" t="s">
        <v>47</v>
      </c>
      <c r="B222" s="7" t="s">
        <v>47</v>
      </c>
      <c r="C222" s="7" t="s">
        <v>47</v>
      </c>
    </row>
    <row r="223">
      <c r="A223" s="7" t="s">
        <v>47</v>
      </c>
      <c r="B223" s="7" t="s">
        <v>47</v>
      </c>
      <c r="C223" s="7" t="s">
        <v>47</v>
      </c>
    </row>
    <row r="224">
      <c r="A224" s="7" t="s">
        <v>47</v>
      </c>
      <c r="B224" s="7" t="s">
        <v>47</v>
      </c>
      <c r="C224" s="7" t="s">
        <v>47</v>
      </c>
    </row>
    <row r="225">
      <c r="A225" s="7" t="s">
        <v>47</v>
      </c>
      <c r="B225" s="7" t="s">
        <v>47</v>
      </c>
      <c r="C225" s="7" t="s">
        <v>47</v>
      </c>
    </row>
    <row r="226">
      <c r="A226" s="7" t="s">
        <v>47</v>
      </c>
      <c r="B226" s="7" t="s">
        <v>47</v>
      </c>
      <c r="C226" s="7" t="s">
        <v>47</v>
      </c>
    </row>
    <row r="227">
      <c r="A227" s="7" t="s">
        <v>47</v>
      </c>
      <c r="B227" s="7" t="s">
        <v>47</v>
      </c>
      <c r="C227" s="7" t="s">
        <v>47</v>
      </c>
    </row>
    <row r="228">
      <c r="A228" s="7" t="s">
        <v>47</v>
      </c>
      <c r="B228" s="7" t="s">
        <v>47</v>
      </c>
      <c r="C228" s="7" t="s">
        <v>47</v>
      </c>
    </row>
    <row r="229">
      <c r="A229" s="7" t="s">
        <v>47</v>
      </c>
      <c r="B229" s="7" t="s">
        <v>47</v>
      </c>
      <c r="C229" s="7" t="s">
        <v>47</v>
      </c>
    </row>
    <row r="230">
      <c r="A230" s="7" t="s">
        <v>47</v>
      </c>
      <c r="B230" s="7" t="s">
        <v>47</v>
      </c>
      <c r="C230" s="7" t="s">
        <v>47</v>
      </c>
    </row>
    <row r="231">
      <c r="A231" s="7" t="s">
        <v>47</v>
      </c>
      <c r="B231" s="7" t="s">
        <v>47</v>
      </c>
      <c r="C231" s="7" t="s">
        <v>47</v>
      </c>
    </row>
    <row r="232">
      <c r="A232" s="7" t="s">
        <v>47</v>
      </c>
      <c r="B232" s="7" t="s">
        <v>47</v>
      </c>
      <c r="C232" s="7" t="s">
        <v>47</v>
      </c>
    </row>
    <row r="233">
      <c r="A233" s="7" t="s">
        <v>47</v>
      </c>
      <c r="B233" s="7" t="s">
        <v>47</v>
      </c>
      <c r="C233" s="7" t="s">
        <v>47</v>
      </c>
    </row>
    <row r="234">
      <c r="A234" s="7" t="s">
        <v>47</v>
      </c>
      <c r="B234" s="7" t="s">
        <v>47</v>
      </c>
      <c r="C234" s="7" t="s">
        <v>47</v>
      </c>
    </row>
    <row r="235">
      <c r="A235" s="7" t="s">
        <v>47</v>
      </c>
      <c r="B235" s="7" t="s">
        <v>47</v>
      </c>
      <c r="C235" s="7" t="s">
        <v>47</v>
      </c>
    </row>
    <row r="236">
      <c r="A236" s="7" t="s">
        <v>47</v>
      </c>
      <c r="B236" s="7" t="s">
        <v>47</v>
      </c>
      <c r="C236" s="7" t="s">
        <v>47</v>
      </c>
    </row>
    <row r="237">
      <c r="A237" s="7" t="s">
        <v>47</v>
      </c>
      <c r="B237" s="7" t="s">
        <v>47</v>
      </c>
      <c r="C237" s="7" t="s">
        <v>47</v>
      </c>
    </row>
    <row r="238">
      <c r="A238" s="7" t="s">
        <v>47</v>
      </c>
      <c r="B238" s="7" t="s">
        <v>47</v>
      </c>
      <c r="C238" s="7" t="s">
        <v>47</v>
      </c>
    </row>
    <row r="239">
      <c r="A239" s="7" t="s">
        <v>47</v>
      </c>
      <c r="B239" s="7" t="s">
        <v>47</v>
      </c>
      <c r="C239" s="7" t="s">
        <v>47</v>
      </c>
    </row>
    <row r="240">
      <c r="A240" s="7" t="s">
        <v>47</v>
      </c>
      <c r="B240" s="7" t="s">
        <v>47</v>
      </c>
      <c r="C240" s="7" t="s">
        <v>47</v>
      </c>
    </row>
    <row r="241">
      <c r="A241" s="7" t="s">
        <v>47</v>
      </c>
      <c r="B241" s="7" t="s">
        <v>47</v>
      </c>
      <c r="C241" s="7" t="s">
        <v>47</v>
      </c>
    </row>
    <row r="242">
      <c r="A242" s="7" t="s">
        <v>47</v>
      </c>
      <c r="B242" s="7" t="s">
        <v>47</v>
      </c>
      <c r="C242" s="7" t="s">
        <v>47</v>
      </c>
    </row>
    <row r="243">
      <c r="A243" s="7" t="s">
        <v>47</v>
      </c>
      <c r="B243" s="7" t="s">
        <v>47</v>
      </c>
      <c r="C243" s="7" t="s">
        <v>47</v>
      </c>
    </row>
    <row r="244">
      <c r="A244" s="7" t="s">
        <v>47</v>
      </c>
      <c r="B244" s="7" t="s">
        <v>47</v>
      </c>
      <c r="C244" s="7" t="s">
        <v>47</v>
      </c>
    </row>
    <row r="245">
      <c r="A245" s="7" t="s">
        <v>47</v>
      </c>
      <c r="B245" s="7" t="s">
        <v>47</v>
      </c>
      <c r="C245" s="7" t="s">
        <v>47</v>
      </c>
    </row>
    <row r="246">
      <c r="A246" s="7" t="s">
        <v>47</v>
      </c>
      <c r="B246" s="7" t="s">
        <v>47</v>
      </c>
      <c r="C246" s="7" t="s">
        <v>47</v>
      </c>
    </row>
    <row r="247">
      <c r="A247" s="7" t="s">
        <v>47</v>
      </c>
      <c r="B247" s="7" t="s">
        <v>47</v>
      </c>
      <c r="C247" s="7" t="s">
        <v>47</v>
      </c>
    </row>
    <row r="248">
      <c r="A248" s="7" t="s">
        <v>47</v>
      </c>
      <c r="B248" s="7" t="s">
        <v>47</v>
      </c>
      <c r="C248" s="7" t="s">
        <v>47</v>
      </c>
    </row>
    <row r="249">
      <c r="A249" s="7" t="s">
        <v>47</v>
      </c>
      <c r="B249" s="7" t="s">
        <v>47</v>
      </c>
      <c r="C249" s="7" t="s">
        <v>47</v>
      </c>
    </row>
    <row r="250">
      <c r="A250" s="7" t="s">
        <v>47</v>
      </c>
      <c r="B250" s="7" t="s">
        <v>47</v>
      </c>
      <c r="C250" s="7" t="s">
        <v>47</v>
      </c>
    </row>
    <row r="251">
      <c r="A251" s="7" t="s">
        <v>47</v>
      </c>
      <c r="B251" s="7" t="s">
        <v>47</v>
      </c>
      <c r="C251" s="7" t="s">
        <v>47</v>
      </c>
    </row>
    <row r="252">
      <c r="A252" s="7" t="s">
        <v>47</v>
      </c>
      <c r="B252" s="7" t="s">
        <v>47</v>
      </c>
      <c r="C252" s="7" t="s">
        <v>47</v>
      </c>
    </row>
    <row r="253">
      <c r="A253" s="7" t="s">
        <v>47</v>
      </c>
      <c r="B253" s="7" t="s">
        <v>47</v>
      </c>
      <c r="C253" s="7" t="s">
        <v>47</v>
      </c>
    </row>
    <row r="254">
      <c r="A254" s="7" t="s">
        <v>47</v>
      </c>
      <c r="B254" s="7" t="s">
        <v>47</v>
      </c>
      <c r="C254" s="7" t="s">
        <v>47</v>
      </c>
    </row>
    <row r="255">
      <c r="A255" s="7" t="s">
        <v>47</v>
      </c>
      <c r="B255" s="7" t="s">
        <v>47</v>
      </c>
      <c r="C255" s="7" t="s">
        <v>47</v>
      </c>
    </row>
    <row r="256">
      <c r="A256" s="7" t="s">
        <v>47</v>
      </c>
      <c r="B256" s="7" t="s">
        <v>47</v>
      </c>
      <c r="C256" s="7" t="s">
        <v>47</v>
      </c>
    </row>
    <row r="257">
      <c r="A257" s="7" t="s">
        <v>47</v>
      </c>
      <c r="B257" s="7" t="s">
        <v>47</v>
      </c>
      <c r="C257" s="7" t="s">
        <v>47</v>
      </c>
    </row>
    <row r="258">
      <c r="A258" s="7" t="s">
        <v>47</v>
      </c>
      <c r="B258" s="7" t="s">
        <v>47</v>
      </c>
      <c r="C258" s="7" t="s">
        <v>47</v>
      </c>
    </row>
    <row r="259">
      <c r="A259" s="7" t="s">
        <v>47</v>
      </c>
      <c r="B259" s="7" t="s">
        <v>47</v>
      </c>
      <c r="C259" s="7" t="s">
        <v>47</v>
      </c>
    </row>
    <row r="260">
      <c r="A260" s="7" t="s">
        <v>47</v>
      </c>
      <c r="B260" s="7" t="s">
        <v>47</v>
      </c>
      <c r="C260" s="7" t="s">
        <v>47</v>
      </c>
    </row>
    <row r="261">
      <c r="A261" s="7" t="s">
        <v>47</v>
      </c>
      <c r="B261" s="7" t="s">
        <v>47</v>
      </c>
      <c r="C261" s="7" t="s">
        <v>47</v>
      </c>
    </row>
    <row r="262">
      <c r="A262" s="7" t="s">
        <v>47</v>
      </c>
      <c r="B262" s="7" t="s">
        <v>47</v>
      </c>
      <c r="C262" s="7" t="s">
        <v>47</v>
      </c>
    </row>
    <row r="263">
      <c r="A263" s="7" t="s">
        <v>47</v>
      </c>
      <c r="B263" s="7" t="s">
        <v>47</v>
      </c>
      <c r="C263" s="7" t="s">
        <v>47</v>
      </c>
    </row>
    <row r="264">
      <c r="A264" s="7" t="s">
        <v>47</v>
      </c>
      <c r="B264" s="7" t="s">
        <v>47</v>
      </c>
      <c r="C264" s="7" t="s">
        <v>47</v>
      </c>
    </row>
    <row r="265">
      <c r="A265" s="7" t="s">
        <v>47</v>
      </c>
      <c r="B265" s="7" t="s">
        <v>47</v>
      </c>
      <c r="C265" s="7" t="s">
        <v>47</v>
      </c>
    </row>
    <row r="266">
      <c r="A266" s="7" t="s">
        <v>47</v>
      </c>
      <c r="B266" s="7" t="s">
        <v>47</v>
      </c>
      <c r="C266" s="7" t="s">
        <v>47</v>
      </c>
    </row>
    <row r="267">
      <c r="A267" s="7" t="s">
        <v>47</v>
      </c>
      <c r="B267" s="7" t="s">
        <v>47</v>
      </c>
      <c r="C267" s="7" t="s">
        <v>47</v>
      </c>
    </row>
    <row r="268">
      <c r="A268" s="7" t="s">
        <v>47</v>
      </c>
      <c r="B268" s="7" t="s">
        <v>47</v>
      </c>
      <c r="C268" s="7" t="s">
        <v>47</v>
      </c>
    </row>
    <row r="269">
      <c r="A269" s="7" t="s">
        <v>47</v>
      </c>
      <c r="B269" s="7" t="s">
        <v>47</v>
      </c>
      <c r="C269" s="7" t="s">
        <v>47</v>
      </c>
    </row>
    <row r="270">
      <c r="A270" s="7" t="s">
        <v>47</v>
      </c>
      <c r="B270" s="7" t="s">
        <v>47</v>
      </c>
      <c r="C270" s="7" t="s">
        <v>47</v>
      </c>
    </row>
    <row r="271">
      <c r="A271" s="7" t="s">
        <v>47</v>
      </c>
      <c r="B271" s="7" t="s">
        <v>47</v>
      </c>
      <c r="C271" s="7" t="s">
        <v>47</v>
      </c>
    </row>
    <row r="272">
      <c r="A272" s="7" t="s">
        <v>47</v>
      </c>
      <c r="B272" s="7" t="s">
        <v>47</v>
      </c>
      <c r="C272" s="7" t="s">
        <v>47</v>
      </c>
    </row>
    <row r="273">
      <c r="A273" s="7" t="s">
        <v>47</v>
      </c>
      <c r="B273" s="7" t="s">
        <v>47</v>
      </c>
      <c r="C273" s="7" t="s">
        <v>47</v>
      </c>
    </row>
    <row r="274">
      <c r="A274" s="7" t="s">
        <v>47</v>
      </c>
      <c r="B274" s="7" t="s">
        <v>47</v>
      </c>
      <c r="C274" s="7" t="s">
        <v>47</v>
      </c>
    </row>
    <row r="275">
      <c r="A275" s="7" t="s">
        <v>47</v>
      </c>
      <c r="B275" s="7" t="s">
        <v>47</v>
      </c>
      <c r="C275" s="7" t="s">
        <v>47</v>
      </c>
    </row>
    <row r="276">
      <c r="A276" s="7" t="s">
        <v>47</v>
      </c>
      <c r="B276" s="7" t="s">
        <v>47</v>
      </c>
      <c r="C276" s="7" t="s">
        <v>47</v>
      </c>
    </row>
    <row r="277">
      <c r="A277" s="7" t="s">
        <v>47</v>
      </c>
      <c r="B277" s="7" t="s">
        <v>47</v>
      </c>
      <c r="C277" s="7" t="s">
        <v>47</v>
      </c>
    </row>
    <row r="278">
      <c r="A278" s="7" t="s">
        <v>47</v>
      </c>
      <c r="B278" s="7" t="s">
        <v>47</v>
      </c>
      <c r="C278" s="7" t="s">
        <v>47</v>
      </c>
    </row>
    <row r="279">
      <c r="A279" s="7" t="s">
        <v>47</v>
      </c>
      <c r="B279" s="7" t="s">
        <v>47</v>
      </c>
      <c r="C279" s="7" t="s">
        <v>47</v>
      </c>
    </row>
    <row r="280">
      <c r="A280" s="7" t="s">
        <v>47</v>
      </c>
      <c r="B280" s="7" t="s">
        <v>47</v>
      </c>
      <c r="C280" s="7" t="s">
        <v>47</v>
      </c>
    </row>
    <row r="281">
      <c r="A281" s="7" t="s">
        <v>47</v>
      </c>
      <c r="B281" s="7" t="s">
        <v>47</v>
      </c>
      <c r="C281" s="7" t="s">
        <v>47</v>
      </c>
    </row>
    <row r="282">
      <c r="A282" s="7" t="s">
        <v>47</v>
      </c>
      <c r="B282" s="7" t="s">
        <v>47</v>
      </c>
      <c r="C282" s="7" t="s">
        <v>47</v>
      </c>
    </row>
    <row r="283">
      <c r="A283" s="7" t="s">
        <v>47</v>
      </c>
      <c r="B283" s="7" t="s">
        <v>47</v>
      </c>
      <c r="C283" s="7" t="s">
        <v>47</v>
      </c>
    </row>
    <row r="284">
      <c r="A284" s="7" t="s">
        <v>47</v>
      </c>
      <c r="B284" s="7" t="s">
        <v>47</v>
      </c>
      <c r="C284" s="7" t="s">
        <v>47</v>
      </c>
    </row>
    <row r="285">
      <c r="A285" s="7" t="s">
        <v>47</v>
      </c>
      <c r="B285" s="7" t="s">
        <v>47</v>
      </c>
      <c r="C285" s="7" t="s">
        <v>47</v>
      </c>
    </row>
    <row r="286">
      <c r="A286" s="7" t="s">
        <v>47</v>
      </c>
      <c r="B286" s="7" t="s">
        <v>47</v>
      </c>
      <c r="C286" s="7" t="s">
        <v>47</v>
      </c>
    </row>
    <row r="287">
      <c r="A287" s="7" t="s">
        <v>47</v>
      </c>
      <c r="B287" s="7" t="s">
        <v>47</v>
      </c>
      <c r="C287" s="7" t="s">
        <v>47</v>
      </c>
    </row>
    <row r="288">
      <c r="A288" s="7" t="s">
        <v>47</v>
      </c>
      <c r="B288" s="7" t="s">
        <v>47</v>
      </c>
      <c r="C288" s="7" t="s">
        <v>47</v>
      </c>
    </row>
    <row r="289">
      <c r="A289" s="7" t="s">
        <v>47</v>
      </c>
      <c r="B289" s="7" t="s">
        <v>47</v>
      </c>
      <c r="C289" s="7" t="s">
        <v>47</v>
      </c>
    </row>
    <row r="290">
      <c r="A290" s="7" t="s">
        <v>47</v>
      </c>
      <c r="B290" s="7" t="s">
        <v>47</v>
      </c>
      <c r="C290" s="7" t="s">
        <v>47</v>
      </c>
    </row>
    <row r="291">
      <c r="A291" s="7" t="s">
        <v>47</v>
      </c>
      <c r="B291" s="7" t="s">
        <v>47</v>
      </c>
      <c r="C291" s="7" t="s">
        <v>47</v>
      </c>
    </row>
    <row r="292">
      <c r="A292" s="7" t="s">
        <v>47</v>
      </c>
      <c r="B292" s="7" t="s">
        <v>47</v>
      </c>
      <c r="C292" s="7" t="s">
        <v>47</v>
      </c>
    </row>
    <row r="293">
      <c r="A293" s="7" t="s">
        <v>47</v>
      </c>
      <c r="B293" s="7" t="s">
        <v>47</v>
      </c>
      <c r="C293" s="7" t="s">
        <v>47</v>
      </c>
    </row>
    <row r="294">
      <c r="A294" s="7" t="s">
        <v>47</v>
      </c>
      <c r="B294" s="7" t="s">
        <v>47</v>
      </c>
      <c r="C294" s="7" t="s">
        <v>47</v>
      </c>
    </row>
    <row r="295">
      <c r="A295" s="7" t="s">
        <v>47</v>
      </c>
      <c r="B295" s="7" t="s">
        <v>47</v>
      </c>
      <c r="C295" s="7" t="s">
        <v>47</v>
      </c>
    </row>
    <row r="296">
      <c r="A296" s="7" t="s">
        <v>47</v>
      </c>
      <c r="B296" s="7" t="s">
        <v>47</v>
      </c>
      <c r="C296" s="7" t="s">
        <v>47</v>
      </c>
    </row>
    <row r="297">
      <c r="A297" s="7" t="s">
        <v>47</v>
      </c>
      <c r="B297" s="7" t="s">
        <v>47</v>
      </c>
      <c r="C297" s="7" t="s">
        <v>47</v>
      </c>
    </row>
    <row r="298">
      <c r="A298" s="7" t="s">
        <v>47</v>
      </c>
      <c r="B298" s="7" t="s">
        <v>47</v>
      </c>
      <c r="C298" s="7" t="s">
        <v>47</v>
      </c>
    </row>
    <row r="299">
      <c r="A299" s="7" t="s">
        <v>47</v>
      </c>
      <c r="B299" s="7" t="s">
        <v>47</v>
      </c>
      <c r="C299" s="7" t="s">
        <v>47</v>
      </c>
    </row>
    <row r="300">
      <c r="A300" s="7" t="s">
        <v>47</v>
      </c>
      <c r="B300" s="7" t="s">
        <v>47</v>
      </c>
      <c r="C300" s="7" t="s">
        <v>47</v>
      </c>
    </row>
    <row r="301">
      <c r="A301" s="7" t="s">
        <v>47</v>
      </c>
      <c r="B301" s="7" t="s">
        <v>47</v>
      </c>
      <c r="C301" s="7" t="s">
        <v>47</v>
      </c>
    </row>
    <row r="302">
      <c r="A302" s="7" t="s">
        <v>47</v>
      </c>
      <c r="B302" s="7" t="s">
        <v>47</v>
      </c>
      <c r="C302" s="7" t="s">
        <v>47</v>
      </c>
    </row>
    <row r="303">
      <c r="A303" s="7" t="s">
        <v>47</v>
      </c>
      <c r="B303" s="7" t="s">
        <v>47</v>
      </c>
      <c r="C303" s="7" t="s">
        <v>47</v>
      </c>
    </row>
    <row r="304">
      <c r="A304" s="7" t="s">
        <v>47</v>
      </c>
      <c r="B304" s="7" t="s">
        <v>47</v>
      </c>
      <c r="C304" s="7" t="s">
        <v>47</v>
      </c>
    </row>
    <row r="305">
      <c r="A305" s="7" t="s">
        <v>47</v>
      </c>
      <c r="B305" s="7" t="s">
        <v>47</v>
      </c>
      <c r="C305" s="7" t="s">
        <v>47</v>
      </c>
    </row>
    <row r="306">
      <c r="A306" s="7" t="s">
        <v>47</v>
      </c>
      <c r="B306" s="7" t="s">
        <v>47</v>
      </c>
      <c r="C306" s="7" t="s">
        <v>47</v>
      </c>
    </row>
    <row r="307">
      <c r="A307" s="7" t="s">
        <v>47</v>
      </c>
      <c r="B307" s="7" t="s">
        <v>47</v>
      </c>
      <c r="C307" s="7" t="s">
        <v>47</v>
      </c>
    </row>
    <row r="308">
      <c r="A308" s="7" t="s">
        <v>47</v>
      </c>
      <c r="B308" s="7" t="s">
        <v>47</v>
      </c>
      <c r="C308" s="7" t="s">
        <v>47</v>
      </c>
    </row>
    <row r="309">
      <c r="A309" s="7" t="s">
        <v>47</v>
      </c>
      <c r="B309" s="7" t="s">
        <v>47</v>
      </c>
      <c r="C309" s="7" t="s">
        <v>47</v>
      </c>
    </row>
    <row r="310">
      <c r="A310" s="7" t="s">
        <v>47</v>
      </c>
      <c r="B310" s="7" t="s">
        <v>47</v>
      </c>
      <c r="C310" s="7" t="s">
        <v>47</v>
      </c>
    </row>
    <row r="311">
      <c r="A311" s="7" t="s">
        <v>47</v>
      </c>
      <c r="B311" s="7" t="s">
        <v>47</v>
      </c>
      <c r="C311" s="7" t="s">
        <v>47</v>
      </c>
    </row>
    <row r="312">
      <c r="A312" s="7" t="s">
        <v>47</v>
      </c>
      <c r="B312" s="7" t="s">
        <v>47</v>
      </c>
      <c r="C312" s="7" t="s">
        <v>47</v>
      </c>
    </row>
    <row r="313">
      <c r="A313" s="7" t="s">
        <v>47</v>
      </c>
      <c r="B313" s="7" t="s">
        <v>47</v>
      </c>
      <c r="C313" s="7" t="s">
        <v>47</v>
      </c>
    </row>
    <row r="314">
      <c r="A314" s="7" t="s">
        <v>47</v>
      </c>
      <c r="B314" s="7" t="s">
        <v>47</v>
      </c>
      <c r="C314" s="7" t="s">
        <v>47</v>
      </c>
    </row>
    <row r="315">
      <c r="A315" s="7" t="s">
        <v>47</v>
      </c>
      <c r="B315" s="7" t="s">
        <v>47</v>
      </c>
      <c r="C315" s="7" t="s">
        <v>47</v>
      </c>
    </row>
    <row r="316">
      <c r="A316" s="7" t="s">
        <v>47</v>
      </c>
      <c r="B316" s="7" t="s">
        <v>47</v>
      </c>
      <c r="C316" s="7" t="s">
        <v>47</v>
      </c>
    </row>
    <row r="317">
      <c r="A317" s="7" t="s">
        <v>47</v>
      </c>
      <c r="B317" s="7" t="s">
        <v>47</v>
      </c>
      <c r="C317" s="7" t="s">
        <v>47</v>
      </c>
    </row>
    <row r="318">
      <c r="A318" s="7" t="s">
        <v>47</v>
      </c>
      <c r="B318" s="7" t="s">
        <v>47</v>
      </c>
      <c r="C318" s="7" t="s">
        <v>47</v>
      </c>
    </row>
    <row r="319">
      <c r="A319" s="7" t="s">
        <v>47</v>
      </c>
      <c r="B319" s="7" t="s">
        <v>47</v>
      </c>
      <c r="C319" s="7" t="s">
        <v>47</v>
      </c>
    </row>
    <row r="320">
      <c r="A320" s="7" t="s">
        <v>47</v>
      </c>
      <c r="B320" s="7" t="s">
        <v>47</v>
      </c>
      <c r="C320" s="7" t="s">
        <v>47</v>
      </c>
    </row>
    <row r="321">
      <c r="A321" s="7" t="s">
        <v>47</v>
      </c>
      <c r="B321" s="7" t="s">
        <v>47</v>
      </c>
      <c r="C321" s="7" t="s">
        <v>47</v>
      </c>
    </row>
    <row r="322">
      <c r="A322" s="7" t="s">
        <v>47</v>
      </c>
      <c r="B322" s="7" t="s">
        <v>47</v>
      </c>
      <c r="C322" s="7" t="s">
        <v>47</v>
      </c>
    </row>
    <row r="323">
      <c r="A323" s="7" t="s">
        <v>47</v>
      </c>
      <c r="B323" s="7" t="s">
        <v>47</v>
      </c>
      <c r="C323" s="7" t="s">
        <v>47</v>
      </c>
    </row>
    <row r="324">
      <c r="A324" s="7" t="s">
        <v>47</v>
      </c>
      <c r="B324" s="7" t="s">
        <v>47</v>
      </c>
      <c r="C324" s="7" t="s">
        <v>47</v>
      </c>
    </row>
    <row r="325">
      <c r="A325" s="7" t="s">
        <v>47</v>
      </c>
      <c r="B325" s="7" t="s">
        <v>47</v>
      </c>
      <c r="C325" s="7" t="s">
        <v>47</v>
      </c>
    </row>
    <row r="326">
      <c r="A326" s="7" t="s">
        <v>47</v>
      </c>
      <c r="B326" s="7" t="s">
        <v>47</v>
      </c>
      <c r="C326" s="7" t="s">
        <v>47</v>
      </c>
    </row>
    <row r="327">
      <c r="A327" s="7" t="s">
        <v>47</v>
      </c>
      <c r="B327" s="7" t="s">
        <v>47</v>
      </c>
      <c r="C327" s="7" t="s">
        <v>47</v>
      </c>
    </row>
    <row r="328">
      <c r="A328" s="7" t="s">
        <v>47</v>
      </c>
      <c r="B328" s="7" t="s">
        <v>47</v>
      </c>
      <c r="C328" s="7" t="s">
        <v>47</v>
      </c>
    </row>
    <row r="329">
      <c r="A329" s="7" t="s">
        <v>47</v>
      </c>
      <c r="B329" s="7" t="s">
        <v>47</v>
      </c>
      <c r="C329" s="7" t="s">
        <v>47</v>
      </c>
    </row>
    <row r="330">
      <c r="A330" s="7" t="s">
        <v>47</v>
      </c>
      <c r="B330" s="7" t="s">
        <v>47</v>
      </c>
      <c r="C330" s="7" t="s">
        <v>47</v>
      </c>
    </row>
    <row r="331">
      <c r="A331" s="7" t="s">
        <v>47</v>
      </c>
      <c r="B331" s="7" t="s">
        <v>47</v>
      </c>
      <c r="C331" s="7" t="s">
        <v>47</v>
      </c>
    </row>
    <row r="332">
      <c r="A332" s="7" t="s">
        <v>47</v>
      </c>
      <c r="B332" s="7" t="s">
        <v>47</v>
      </c>
      <c r="C332" s="7" t="s">
        <v>47</v>
      </c>
    </row>
    <row r="333">
      <c r="A333" s="7" t="s">
        <v>47</v>
      </c>
      <c r="B333" s="7" t="s">
        <v>47</v>
      </c>
      <c r="C333" s="7" t="s">
        <v>47</v>
      </c>
    </row>
    <row r="334">
      <c r="A334" s="7" t="s">
        <v>47</v>
      </c>
      <c r="B334" s="7" t="s">
        <v>47</v>
      </c>
      <c r="C334" s="7" t="s">
        <v>47</v>
      </c>
    </row>
    <row r="335">
      <c r="A335" s="7" t="s">
        <v>47</v>
      </c>
      <c r="B335" s="7" t="s">
        <v>47</v>
      </c>
      <c r="C335" s="7" t="s">
        <v>47</v>
      </c>
    </row>
    <row r="336">
      <c r="A336" s="7" t="s">
        <v>47</v>
      </c>
      <c r="B336" s="7" t="s">
        <v>47</v>
      </c>
      <c r="C336" s="7" t="s">
        <v>47</v>
      </c>
    </row>
    <row r="337">
      <c r="A337" s="7" t="s">
        <v>47</v>
      </c>
      <c r="B337" s="7" t="s">
        <v>47</v>
      </c>
      <c r="C337" s="7" t="s">
        <v>47</v>
      </c>
    </row>
    <row r="338">
      <c r="A338" s="7" t="s">
        <v>47</v>
      </c>
      <c r="B338" s="7" t="s">
        <v>47</v>
      </c>
      <c r="C338" s="7" t="s">
        <v>47</v>
      </c>
    </row>
    <row r="339">
      <c r="A339" s="7" t="s">
        <v>47</v>
      </c>
      <c r="B339" s="7" t="s">
        <v>47</v>
      </c>
      <c r="C339" s="7" t="s">
        <v>47</v>
      </c>
    </row>
    <row r="340">
      <c r="A340" s="7" t="s">
        <v>47</v>
      </c>
      <c r="B340" s="7" t="s">
        <v>47</v>
      </c>
      <c r="C340" s="7" t="s">
        <v>47</v>
      </c>
    </row>
    <row r="341">
      <c r="A341" s="7" t="s">
        <v>47</v>
      </c>
      <c r="B341" s="7" t="s">
        <v>47</v>
      </c>
      <c r="C341" s="7" t="s">
        <v>47</v>
      </c>
    </row>
    <row r="342">
      <c r="A342" s="7" t="s">
        <v>47</v>
      </c>
      <c r="B342" s="7" t="s">
        <v>47</v>
      </c>
      <c r="C342" s="7" t="s">
        <v>47</v>
      </c>
    </row>
    <row r="343">
      <c r="A343" s="7" t="s">
        <v>47</v>
      </c>
      <c r="B343" s="7" t="s">
        <v>47</v>
      </c>
      <c r="C343" s="7" t="s">
        <v>47</v>
      </c>
    </row>
    <row r="344">
      <c r="A344" s="7" t="s">
        <v>47</v>
      </c>
      <c r="B344" s="7" t="s">
        <v>47</v>
      </c>
      <c r="C344" s="7" t="s">
        <v>47</v>
      </c>
    </row>
    <row r="345">
      <c r="A345" s="7" t="s">
        <v>47</v>
      </c>
      <c r="B345" s="7" t="s">
        <v>47</v>
      </c>
      <c r="C345" s="7" t="s">
        <v>47</v>
      </c>
    </row>
    <row r="346">
      <c r="A346" s="7" t="s">
        <v>47</v>
      </c>
      <c r="B346" s="7" t="s">
        <v>47</v>
      </c>
      <c r="C346" s="7" t="s">
        <v>47</v>
      </c>
    </row>
    <row r="347">
      <c r="A347" s="7" t="s">
        <v>47</v>
      </c>
      <c r="B347" s="7" t="s">
        <v>47</v>
      </c>
      <c r="C347" s="7" t="s">
        <v>47</v>
      </c>
    </row>
    <row r="348">
      <c r="A348" s="7" t="s">
        <v>47</v>
      </c>
      <c r="B348" s="7" t="s">
        <v>47</v>
      </c>
      <c r="C348" s="7" t="s">
        <v>47</v>
      </c>
    </row>
    <row r="349">
      <c r="A349" s="7" t="s">
        <v>47</v>
      </c>
      <c r="B349" s="7" t="s">
        <v>47</v>
      </c>
      <c r="C349" s="7" t="s">
        <v>47</v>
      </c>
    </row>
    <row r="350">
      <c r="A350" s="7" t="s">
        <v>47</v>
      </c>
      <c r="B350" s="7" t="s">
        <v>47</v>
      </c>
      <c r="C350" s="7" t="s">
        <v>47</v>
      </c>
    </row>
    <row r="351">
      <c r="A351" s="7" t="s">
        <v>47</v>
      </c>
      <c r="B351" s="7" t="s">
        <v>47</v>
      </c>
      <c r="C351" s="7" t="s">
        <v>47</v>
      </c>
    </row>
    <row r="352">
      <c r="A352" s="7" t="s">
        <v>47</v>
      </c>
      <c r="B352" s="7" t="s">
        <v>47</v>
      </c>
      <c r="C352" s="7" t="s">
        <v>47</v>
      </c>
    </row>
    <row r="353">
      <c r="A353" s="7" t="s">
        <v>47</v>
      </c>
      <c r="B353" s="7" t="s">
        <v>47</v>
      </c>
      <c r="C353" s="7" t="s">
        <v>47</v>
      </c>
    </row>
    <row r="354">
      <c r="A354" s="7" t="s">
        <v>47</v>
      </c>
      <c r="B354" s="7" t="s">
        <v>47</v>
      </c>
      <c r="C354" s="7" t="s">
        <v>47</v>
      </c>
    </row>
    <row r="355">
      <c r="A355" s="7" t="s">
        <v>47</v>
      </c>
      <c r="B355" s="7" t="s">
        <v>47</v>
      </c>
      <c r="C355" s="7" t="s">
        <v>47</v>
      </c>
    </row>
    <row r="356">
      <c r="A356" s="7" t="s">
        <v>47</v>
      </c>
      <c r="B356" s="7" t="s">
        <v>47</v>
      </c>
      <c r="C356" s="7" t="s">
        <v>47</v>
      </c>
    </row>
    <row r="357">
      <c r="A357" s="7" t="s">
        <v>47</v>
      </c>
      <c r="B357" s="7" t="s">
        <v>47</v>
      </c>
      <c r="C357" s="7" t="s">
        <v>47</v>
      </c>
    </row>
    <row r="358">
      <c r="A358" s="7" t="s">
        <v>47</v>
      </c>
      <c r="B358" s="7" t="s">
        <v>47</v>
      </c>
      <c r="C358" s="7" t="s">
        <v>47</v>
      </c>
    </row>
    <row r="359">
      <c r="A359" s="7" t="s">
        <v>47</v>
      </c>
      <c r="B359" s="7" t="s">
        <v>47</v>
      </c>
      <c r="C359" s="7" t="s">
        <v>47</v>
      </c>
    </row>
    <row r="360">
      <c r="A360" s="7" t="s">
        <v>47</v>
      </c>
      <c r="B360" s="7" t="s">
        <v>47</v>
      </c>
      <c r="C360" s="7" t="s">
        <v>47</v>
      </c>
    </row>
    <row r="361">
      <c r="A361" s="7" t="s">
        <v>47</v>
      </c>
      <c r="B361" s="7" t="s">
        <v>47</v>
      </c>
      <c r="C361" s="7" t="s">
        <v>47</v>
      </c>
    </row>
    <row r="362">
      <c r="A362" s="7" t="s">
        <v>47</v>
      </c>
      <c r="B362" s="7" t="s">
        <v>47</v>
      </c>
      <c r="C362" s="7" t="s">
        <v>47</v>
      </c>
    </row>
    <row r="363">
      <c r="A363" s="7" t="s">
        <v>47</v>
      </c>
      <c r="B363" s="7" t="s">
        <v>47</v>
      </c>
      <c r="C363" s="7" t="s">
        <v>47</v>
      </c>
    </row>
    <row r="364">
      <c r="A364" s="7" t="s">
        <v>47</v>
      </c>
      <c r="B364" s="7" t="s">
        <v>47</v>
      </c>
      <c r="C364" s="7" t="s">
        <v>47</v>
      </c>
    </row>
    <row r="365">
      <c r="A365" s="7" t="s">
        <v>47</v>
      </c>
      <c r="B365" s="7" t="s">
        <v>47</v>
      </c>
      <c r="C365" s="7" t="s">
        <v>47</v>
      </c>
    </row>
    <row r="366">
      <c r="A366" s="7" t="s">
        <v>47</v>
      </c>
      <c r="B366" s="7" t="s">
        <v>47</v>
      </c>
      <c r="C366" s="7" t="s">
        <v>47</v>
      </c>
    </row>
    <row r="367">
      <c r="A367" s="7" t="s">
        <v>47</v>
      </c>
      <c r="B367" s="7" t="s">
        <v>47</v>
      </c>
      <c r="C367" s="7" t="s">
        <v>47</v>
      </c>
    </row>
    <row r="368">
      <c r="A368" s="7" t="s">
        <v>47</v>
      </c>
      <c r="B368" s="7" t="s">
        <v>47</v>
      </c>
      <c r="C368" s="7" t="s">
        <v>47</v>
      </c>
    </row>
    <row r="369">
      <c r="A369" s="7" t="s">
        <v>47</v>
      </c>
      <c r="B369" s="7" t="s">
        <v>47</v>
      </c>
      <c r="C369" s="7" t="s">
        <v>47</v>
      </c>
    </row>
    <row r="370">
      <c r="A370" s="7" t="s">
        <v>47</v>
      </c>
      <c r="B370" s="7" t="s">
        <v>47</v>
      </c>
      <c r="C370" s="7" t="s">
        <v>47</v>
      </c>
    </row>
    <row r="371">
      <c r="A371" s="7" t="s">
        <v>47</v>
      </c>
      <c r="B371" s="7" t="s">
        <v>47</v>
      </c>
      <c r="C371" s="7" t="s">
        <v>47</v>
      </c>
    </row>
    <row r="372">
      <c r="A372" s="7" t="s">
        <v>47</v>
      </c>
      <c r="B372" s="7" t="s">
        <v>47</v>
      </c>
      <c r="C372" s="7" t="s">
        <v>47</v>
      </c>
    </row>
    <row r="373">
      <c r="A373" s="7" t="s">
        <v>47</v>
      </c>
      <c r="B373" s="7" t="s">
        <v>47</v>
      </c>
      <c r="C373" s="7" t="s">
        <v>47</v>
      </c>
    </row>
    <row r="374">
      <c r="A374" s="7" t="s">
        <v>47</v>
      </c>
      <c r="B374" s="7" t="s">
        <v>47</v>
      </c>
      <c r="C374" s="7" t="s">
        <v>47</v>
      </c>
    </row>
    <row r="375">
      <c r="A375" s="7" t="s">
        <v>47</v>
      </c>
      <c r="B375" s="7" t="s">
        <v>47</v>
      </c>
      <c r="C375" s="7" t="s">
        <v>47</v>
      </c>
    </row>
    <row r="376">
      <c r="A376" s="7" t="s">
        <v>47</v>
      </c>
      <c r="B376" s="7" t="s">
        <v>47</v>
      </c>
      <c r="C376" s="7" t="s">
        <v>47</v>
      </c>
    </row>
    <row r="377">
      <c r="A377" s="7" t="s">
        <v>47</v>
      </c>
      <c r="B377" s="7" t="s">
        <v>47</v>
      </c>
      <c r="C377" s="7" t="s">
        <v>47</v>
      </c>
    </row>
    <row r="378">
      <c r="A378" s="7" t="s">
        <v>47</v>
      </c>
      <c r="B378" s="7" t="s">
        <v>47</v>
      </c>
      <c r="C378" s="7" t="s">
        <v>47</v>
      </c>
    </row>
    <row r="379">
      <c r="A379" s="7" t="s">
        <v>47</v>
      </c>
      <c r="B379" s="7" t="s">
        <v>47</v>
      </c>
      <c r="C379" s="7" t="s">
        <v>47</v>
      </c>
    </row>
    <row r="380">
      <c r="A380" s="7" t="s">
        <v>47</v>
      </c>
      <c r="B380" s="7" t="s">
        <v>47</v>
      </c>
      <c r="C380" s="7" t="s">
        <v>47</v>
      </c>
    </row>
    <row r="381">
      <c r="A381" s="7" t="s">
        <v>47</v>
      </c>
      <c r="B381" s="7" t="s">
        <v>47</v>
      </c>
      <c r="C381" s="7" t="s">
        <v>47</v>
      </c>
    </row>
    <row r="382">
      <c r="A382" s="7" t="s">
        <v>47</v>
      </c>
      <c r="B382" s="7" t="s">
        <v>47</v>
      </c>
      <c r="C382" s="7" t="s">
        <v>47</v>
      </c>
    </row>
    <row r="383">
      <c r="A383" s="7" t="s">
        <v>47</v>
      </c>
      <c r="B383" s="7" t="s">
        <v>47</v>
      </c>
      <c r="C383" s="7" t="s">
        <v>47</v>
      </c>
    </row>
    <row r="384">
      <c r="A384" s="7" t="s">
        <v>47</v>
      </c>
      <c r="B384" s="7" t="s">
        <v>47</v>
      </c>
      <c r="C384" s="7" t="s">
        <v>47</v>
      </c>
    </row>
    <row r="385">
      <c r="A385" s="7" t="s">
        <v>47</v>
      </c>
      <c r="B385" s="7" t="s">
        <v>47</v>
      </c>
      <c r="C385" s="7" t="s">
        <v>47</v>
      </c>
    </row>
    <row r="386">
      <c r="A386" s="7" t="s">
        <v>47</v>
      </c>
      <c r="B386" s="7" t="s">
        <v>47</v>
      </c>
      <c r="C386" s="7" t="s">
        <v>47</v>
      </c>
    </row>
    <row r="387">
      <c r="A387" s="7" t="s">
        <v>47</v>
      </c>
      <c r="B387" s="7" t="s">
        <v>47</v>
      </c>
      <c r="C387" s="7" t="s">
        <v>47</v>
      </c>
    </row>
    <row r="388">
      <c r="A388" s="7" t="s">
        <v>47</v>
      </c>
      <c r="B388" s="7" t="s">
        <v>47</v>
      </c>
      <c r="C388" s="7" t="s">
        <v>47</v>
      </c>
    </row>
    <row r="389">
      <c r="A389" s="7" t="s">
        <v>47</v>
      </c>
      <c r="B389" s="7" t="s">
        <v>47</v>
      </c>
      <c r="C389" s="7" t="s">
        <v>47</v>
      </c>
    </row>
    <row r="390">
      <c r="A390" s="7" t="s">
        <v>47</v>
      </c>
      <c r="B390" s="7" t="s">
        <v>47</v>
      </c>
      <c r="C390" s="7" t="s">
        <v>47</v>
      </c>
    </row>
    <row r="391">
      <c r="A391" s="7" t="s">
        <v>47</v>
      </c>
      <c r="B391" s="7" t="s">
        <v>47</v>
      </c>
      <c r="C391" s="7" t="s">
        <v>47</v>
      </c>
    </row>
    <row r="392">
      <c r="A392" s="7" t="s">
        <v>47</v>
      </c>
      <c r="B392" s="7" t="s">
        <v>47</v>
      </c>
      <c r="C392" s="7" t="s">
        <v>47</v>
      </c>
    </row>
    <row r="393">
      <c r="A393" s="7" t="s">
        <v>47</v>
      </c>
      <c r="B393" s="7" t="s">
        <v>47</v>
      </c>
      <c r="C393" s="7" t="s">
        <v>47</v>
      </c>
    </row>
    <row r="394">
      <c r="A394" s="7" t="s">
        <v>47</v>
      </c>
      <c r="B394" s="7" t="s">
        <v>47</v>
      </c>
      <c r="C394" s="7" t="s">
        <v>47</v>
      </c>
    </row>
    <row r="395">
      <c r="A395" s="7" t="s">
        <v>47</v>
      </c>
      <c r="B395" s="7" t="s">
        <v>47</v>
      </c>
      <c r="C395" s="7" t="s">
        <v>47</v>
      </c>
    </row>
    <row r="396">
      <c r="A396" s="7" t="s">
        <v>47</v>
      </c>
      <c r="B396" s="7" t="s">
        <v>47</v>
      </c>
      <c r="C396" s="7" t="s">
        <v>47</v>
      </c>
    </row>
    <row r="397">
      <c r="A397" s="7" t="s">
        <v>47</v>
      </c>
      <c r="B397" s="7" t="s">
        <v>47</v>
      </c>
      <c r="C397" s="7" t="s">
        <v>47</v>
      </c>
    </row>
    <row r="398">
      <c r="A398" s="7" t="s">
        <v>47</v>
      </c>
      <c r="B398" s="7" t="s">
        <v>47</v>
      </c>
      <c r="C398" s="7" t="s">
        <v>47</v>
      </c>
    </row>
    <row r="399">
      <c r="A399" s="7" t="s">
        <v>47</v>
      </c>
      <c r="B399" s="7" t="s">
        <v>47</v>
      </c>
      <c r="C399" s="7" t="s">
        <v>47</v>
      </c>
    </row>
    <row r="400">
      <c r="A400" s="7" t="s">
        <v>47</v>
      </c>
      <c r="B400" s="7" t="s">
        <v>47</v>
      </c>
      <c r="C400" s="7" t="s">
        <v>47</v>
      </c>
    </row>
    <row r="401">
      <c r="A401" s="7" t="s">
        <v>47</v>
      </c>
      <c r="B401" s="7" t="s">
        <v>47</v>
      </c>
      <c r="C401" s="7" t="s">
        <v>47</v>
      </c>
    </row>
    <row r="402">
      <c r="A402" s="7" t="s">
        <v>47</v>
      </c>
      <c r="B402" s="7" t="s">
        <v>47</v>
      </c>
      <c r="C402" s="7" t="s">
        <v>47</v>
      </c>
    </row>
    <row r="403">
      <c r="A403" s="7" t="s">
        <v>47</v>
      </c>
      <c r="B403" s="7" t="s">
        <v>47</v>
      </c>
      <c r="C403" s="7" t="s">
        <v>47</v>
      </c>
    </row>
    <row r="404">
      <c r="A404" s="7" t="s">
        <v>47</v>
      </c>
      <c r="B404" s="7" t="s">
        <v>47</v>
      </c>
      <c r="C404" s="7" t="s">
        <v>47</v>
      </c>
    </row>
    <row r="405">
      <c r="A405" s="7" t="s">
        <v>47</v>
      </c>
      <c r="B405" s="7" t="s">
        <v>47</v>
      </c>
      <c r="C405" s="7" t="s">
        <v>47</v>
      </c>
    </row>
    <row r="406">
      <c r="A406" s="7" t="s">
        <v>47</v>
      </c>
      <c r="B406" s="7" t="s">
        <v>47</v>
      </c>
      <c r="C406" s="7" t="s">
        <v>47</v>
      </c>
    </row>
    <row r="407">
      <c r="A407" s="7" t="s">
        <v>47</v>
      </c>
      <c r="B407" s="7" t="s">
        <v>47</v>
      </c>
      <c r="C407" s="7" t="s">
        <v>47</v>
      </c>
    </row>
    <row r="408">
      <c r="A408" s="7" t="s">
        <v>47</v>
      </c>
      <c r="B408" s="7" t="s">
        <v>47</v>
      </c>
      <c r="C408" s="7" t="s">
        <v>47</v>
      </c>
    </row>
    <row r="409">
      <c r="A409" s="7" t="s">
        <v>47</v>
      </c>
      <c r="B409" s="7" t="s">
        <v>47</v>
      </c>
      <c r="C409" s="7" t="s">
        <v>47</v>
      </c>
    </row>
    <row r="410">
      <c r="A410" s="7" t="s">
        <v>47</v>
      </c>
      <c r="B410" s="7" t="s">
        <v>47</v>
      </c>
      <c r="C410" s="7" t="s">
        <v>47</v>
      </c>
    </row>
    <row r="411">
      <c r="A411" s="7" t="s">
        <v>47</v>
      </c>
      <c r="B411" s="7" t="s">
        <v>47</v>
      </c>
      <c r="C411" s="7" t="s">
        <v>47</v>
      </c>
    </row>
    <row r="412">
      <c r="A412" s="7" t="s">
        <v>47</v>
      </c>
      <c r="B412" s="7" t="s">
        <v>47</v>
      </c>
      <c r="C412" s="7" t="s">
        <v>47</v>
      </c>
    </row>
    <row r="413">
      <c r="A413" s="7" t="s">
        <v>47</v>
      </c>
      <c r="B413" s="7" t="s">
        <v>47</v>
      </c>
      <c r="C413" s="7" t="s">
        <v>47</v>
      </c>
    </row>
    <row r="414">
      <c r="A414" s="7" t="s">
        <v>47</v>
      </c>
      <c r="B414" s="7" t="s">
        <v>47</v>
      </c>
      <c r="C414" s="7" t="s">
        <v>47</v>
      </c>
    </row>
    <row r="415">
      <c r="A415" s="7" t="s">
        <v>47</v>
      </c>
      <c r="B415" s="7" t="s">
        <v>47</v>
      </c>
      <c r="C415" s="7" t="s">
        <v>47</v>
      </c>
    </row>
    <row r="416">
      <c r="A416" s="7" t="s">
        <v>47</v>
      </c>
      <c r="B416" s="7" t="s">
        <v>47</v>
      </c>
      <c r="C416" s="7" t="s">
        <v>47</v>
      </c>
    </row>
    <row r="417">
      <c r="A417" s="7" t="s">
        <v>47</v>
      </c>
      <c r="B417" s="7" t="s">
        <v>47</v>
      </c>
      <c r="C417" s="7" t="s">
        <v>47</v>
      </c>
    </row>
    <row r="418">
      <c r="A418" s="7" t="s">
        <v>47</v>
      </c>
      <c r="B418" s="7" t="s">
        <v>47</v>
      </c>
      <c r="C418" s="7" t="s">
        <v>47</v>
      </c>
    </row>
    <row r="419">
      <c r="A419" s="7" t="s">
        <v>47</v>
      </c>
      <c r="B419" s="7" t="s">
        <v>47</v>
      </c>
      <c r="C419" s="7" t="s">
        <v>47</v>
      </c>
    </row>
    <row r="420">
      <c r="A420" s="7" t="s">
        <v>47</v>
      </c>
      <c r="B420" s="7" t="s">
        <v>47</v>
      </c>
      <c r="C420" s="7" t="s">
        <v>47</v>
      </c>
    </row>
    <row r="421">
      <c r="A421" s="7" t="s">
        <v>47</v>
      </c>
      <c r="B421" s="7" t="s">
        <v>47</v>
      </c>
      <c r="C421" s="7" t="s">
        <v>47</v>
      </c>
    </row>
    <row r="422">
      <c r="A422" s="7" t="s">
        <v>47</v>
      </c>
      <c r="B422" s="7" t="s">
        <v>47</v>
      </c>
      <c r="C422" s="7" t="s">
        <v>47</v>
      </c>
    </row>
    <row r="423">
      <c r="A423" s="7" t="s">
        <v>47</v>
      </c>
      <c r="B423" s="7" t="s">
        <v>47</v>
      </c>
      <c r="C423" s="7" t="s">
        <v>47</v>
      </c>
    </row>
    <row r="424">
      <c r="A424" s="7" t="s">
        <v>47</v>
      </c>
      <c r="B424" s="7" t="s">
        <v>47</v>
      </c>
      <c r="C424" s="7" t="s">
        <v>47</v>
      </c>
    </row>
    <row r="425">
      <c r="A425" s="7" t="s">
        <v>47</v>
      </c>
      <c r="B425" s="7" t="s">
        <v>47</v>
      </c>
      <c r="C425" s="7" t="s">
        <v>47</v>
      </c>
    </row>
    <row r="426">
      <c r="A426" s="7" t="s">
        <v>47</v>
      </c>
      <c r="B426" s="7" t="s">
        <v>47</v>
      </c>
      <c r="C426" s="7" t="s">
        <v>47</v>
      </c>
    </row>
    <row r="427">
      <c r="A427" s="7" t="s">
        <v>47</v>
      </c>
      <c r="B427" s="7" t="s">
        <v>47</v>
      </c>
      <c r="C427" s="7" t="s">
        <v>47</v>
      </c>
    </row>
    <row r="428">
      <c r="A428" s="7" t="s">
        <v>47</v>
      </c>
      <c r="B428" s="7" t="s">
        <v>47</v>
      </c>
      <c r="C428" s="7" t="s">
        <v>47</v>
      </c>
    </row>
    <row r="429">
      <c r="A429" s="7" t="s">
        <v>47</v>
      </c>
      <c r="B429" s="7" t="s">
        <v>47</v>
      </c>
      <c r="C429" s="7" t="s">
        <v>47</v>
      </c>
    </row>
    <row r="430">
      <c r="A430" s="7" t="s">
        <v>47</v>
      </c>
      <c r="B430" s="7" t="s">
        <v>47</v>
      </c>
      <c r="C430" s="7" t="s">
        <v>47</v>
      </c>
    </row>
    <row r="431">
      <c r="A431" s="7" t="s">
        <v>47</v>
      </c>
      <c r="B431" s="7" t="s">
        <v>47</v>
      </c>
      <c r="C431" s="7" t="s">
        <v>47</v>
      </c>
    </row>
    <row r="432">
      <c r="A432" s="7" t="s">
        <v>47</v>
      </c>
      <c r="B432" s="7" t="s">
        <v>47</v>
      </c>
      <c r="C432" s="7" t="s">
        <v>47</v>
      </c>
    </row>
    <row r="433">
      <c r="A433" s="7" t="s">
        <v>47</v>
      </c>
      <c r="B433" s="7" t="s">
        <v>47</v>
      </c>
      <c r="C433" s="7" t="s">
        <v>47</v>
      </c>
    </row>
    <row r="434">
      <c r="A434" s="7" t="s">
        <v>47</v>
      </c>
      <c r="B434" s="7" t="s">
        <v>47</v>
      </c>
      <c r="C434" s="7" t="s">
        <v>47</v>
      </c>
    </row>
    <row r="435">
      <c r="A435" s="7" t="s">
        <v>47</v>
      </c>
      <c r="B435" s="7" t="s">
        <v>47</v>
      </c>
      <c r="C435" s="7" t="s">
        <v>47</v>
      </c>
    </row>
    <row r="436">
      <c r="A436" s="7" t="s">
        <v>47</v>
      </c>
      <c r="B436" s="7" t="s">
        <v>47</v>
      </c>
      <c r="C436" s="7" t="s">
        <v>47</v>
      </c>
    </row>
    <row r="437">
      <c r="A437" s="7" t="s">
        <v>47</v>
      </c>
      <c r="B437" s="7" t="s">
        <v>47</v>
      </c>
      <c r="C437" s="7" t="s">
        <v>47</v>
      </c>
    </row>
    <row r="438">
      <c r="A438" s="7" t="s">
        <v>47</v>
      </c>
      <c r="B438" s="7" t="s">
        <v>47</v>
      </c>
      <c r="C438" s="7" t="s">
        <v>47</v>
      </c>
    </row>
    <row r="439">
      <c r="A439" s="7" t="s">
        <v>47</v>
      </c>
      <c r="B439" s="7" t="s">
        <v>47</v>
      </c>
      <c r="C439" s="7" t="s">
        <v>47</v>
      </c>
    </row>
    <row r="440">
      <c r="A440" s="7" t="s">
        <v>47</v>
      </c>
      <c r="B440" s="7" t="s">
        <v>47</v>
      </c>
      <c r="C440" s="7" t="s">
        <v>47</v>
      </c>
    </row>
    <row r="441">
      <c r="A441" s="7" t="s">
        <v>47</v>
      </c>
      <c r="B441" s="7" t="s">
        <v>47</v>
      </c>
      <c r="C441" s="7" t="s">
        <v>47</v>
      </c>
    </row>
    <row r="442">
      <c r="A442" s="7" t="s">
        <v>47</v>
      </c>
      <c r="B442" s="7" t="s">
        <v>47</v>
      </c>
      <c r="C442" s="7" t="s">
        <v>47</v>
      </c>
    </row>
    <row r="443">
      <c r="A443" s="7" t="s">
        <v>47</v>
      </c>
      <c r="B443" s="7" t="s">
        <v>47</v>
      </c>
      <c r="C443" s="7" t="s">
        <v>47</v>
      </c>
    </row>
    <row r="444">
      <c r="A444" s="7" t="s">
        <v>47</v>
      </c>
      <c r="B444" s="7" t="s">
        <v>47</v>
      </c>
      <c r="C444" s="7" t="s">
        <v>47</v>
      </c>
    </row>
    <row r="445">
      <c r="A445" s="7" t="s">
        <v>47</v>
      </c>
      <c r="B445" s="7" t="s">
        <v>47</v>
      </c>
      <c r="C445" s="7" t="s">
        <v>47</v>
      </c>
    </row>
    <row r="446">
      <c r="A446" s="7" t="s">
        <v>47</v>
      </c>
      <c r="B446" s="7" t="s">
        <v>47</v>
      </c>
      <c r="C446" s="7" t="s">
        <v>47</v>
      </c>
    </row>
    <row r="447">
      <c r="A447" s="7" t="s">
        <v>47</v>
      </c>
      <c r="B447" s="7" t="s">
        <v>47</v>
      </c>
      <c r="C447" s="7" t="s">
        <v>47</v>
      </c>
    </row>
    <row r="448">
      <c r="A448" s="7" t="s">
        <v>47</v>
      </c>
      <c r="B448" s="7" t="s">
        <v>47</v>
      </c>
      <c r="C448" s="7" t="s">
        <v>47</v>
      </c>
    </row>
    <row r="449">
      <c r="A449" s="7" t="s">
        <v>47</v>
      </c>
      <c r="B449" s="7" t="s">
        <v>47</v>
      </c>
      <c r="C449" s="7" t="s">
        <v>47</v>
      </c>
    </row>
    <row r="450">
      <c r="A450" s="7" t="s">
        <v>47</v>
      </c>
      <c r="B450" s="7" t="s">
        <v>47</v>
      </c>
      <c r="C450" s="7" t="s">
        <v>47</v>
      </c>
    </row>
    <row r="451">
      <c r="A451" s="7" t="s">
        <v>47</v>
      </c>
      <c r="B451" s="7" t="s">
        <v>47</v>
      </c>
      <c r="C451" s="7" t="s">
        <v>47</v>
      </c>
    </row>
    <row r="452">
      <c r="A452" s="7" t="s">
        <v>47</v>
      </c>
      <c r="B452" s="7" t="s">
        <v>47</v>
      </c>
      <c r="C452" s="7" t="s">
        <v>47</v>
      </c>
    </row>
    <row r="453">
      <c r="A453" s="7" t="s">
        <v>47</v>
      </c>
      <c r="B453" s="7" t="s">
        <v>47</v>
      </c>
      <c r="C453" s="7" t="s">
        <v>47</v>
      </c>
    </row>
    <row r="454">
      <c r="A454" s="7" t="s">
        <v>47</v>
      </c>
      <c r="B454" s="7" t="s">
        <v>47</v>
      </c>
      <c r="C454" s="7" t="s">
        <v>47</v>
      </c>
    </row>
    <row r="455">
      <c r="A455" s="7" t="s">
        <v>47</v>
      </c>
      <c r="B455" s="7" t="s">
        <v>47</v>
      </c>
      <c r="C455" s="7" t="s">
        <v>47</v>
      </c>
    </row>
    <row r="456">
      <c r="A456" s="7" t="s">
        <v>47</v>
      </c>
      <c r="B456" s="7" t="s">
        <v>47</v>
      </c>
      <c r="C456" s="7" t="s">
        <v>47</v>
      </c>
    </row>
    <row r="457">
      <c r="A457" s="7" t="s">
        <v>47</v>
      </c>
      <c r="B457" s="7" t="s">
        <v>47</v>
      </c>
      <c r="C457" s="7" t="s">
        <v>47</v>
      </c>
    </row>
    <row r="458">
      <c r="A458" s="7" t="s">
        <v>47</v>
      </c>
      <c r="B458" s="7" t="s">
        <v>47</v>
      </c>
      <c r="C458" s="7" t="s">
        <v>47</v>
      </c>
    </row>
    <row r="459">
      <c r="A459" s="7" t="s">
        <v>47</v>
      </c>
      <c r="B459" s="7" t="s">
        <v>47</v>
      </c>
      <c r="C459" s="7" t="s">
        <v>47</v>
      </c>
    </row>
    <row r="460">
      <c r="A460" s="7" t="s">
        <v>47</v>
      </c>
      <c r="B460" s="7" t="s">
        <v>47</v>
      </c>
      <c r="C460" s="7" t="s">
        <v>47</v>
      </c>
    </row>
    <row r="461">
      <c r="A461" s="7" t="s">
        <v>47</v>
      </c>
      <c r="B461" s="7" t="s">
        <v>47</v>
      </c>
      <c r="C461" s="7" t="s">
        <v>47</v>
      </c>
    </row>
    <row r="462">
      <c r="A462" s="7" t="s">
        <v>47</v>
      </c>
      <c r="B462" s="7" t="s">
        <v>47</v>
      </c>
      <c r="C462" s="7" t="s">
        <v>47</v>
      </c>
    </row>
    <row r="463">
      <c r="A463" s="7" t="s">
        <v>47</v>
      </c>
      <c r="B463" s="7" t="s">
        <v>47</v>
      </c>
      <c r="C463" s="7" t="s">
        <v>47</v>
      </c>
    </row>
    <row r="464">
      <c r="A464" s="7" t="s">
        <v>47</v>
      </c>
      <c r="B464" s="7" t="s">
        <v>47</v>
      </c>
      <c r="C464" s="7" t="s">
        <v>47</v>
      </c>
    </row>
    <row r="465">
      <c r="A465" s="7" t="s">
        <v>47</v>
      </c>
      <c r="B465" s="7" t="s">
        <v>47</v>
      </c>
      <c r="C465" s="7" t="s">
        <v>47</v>
      </c>
    </row>
    <row r="466">
      <c r="A466" s="7" t="s">
        <v>47</v>
      </c>
      <c r="B466" s="7" t="s">
        <v>47</v>
      </c>
      <c r="C466" s="7" t="s">
        <v>47</v>
      </c>
    </row>
    <row r="467">
      <c r="A467" s="7" t="s">
        <v>47</v>
      </c>
      <c r="B467" s="7" t="s">
        <v>47</v>
      </c>
      <c r="C467" s="7" t="s">
        <v>47</v>
      </c>
    </row>
    <row r="468">
      <c r="A468" s="7" t="s">
        <v>47</v>
      </c>
      <c r="B468" s="7" t="s">
        <v>47</v>
      </c>
      <c r="C468" s="7" t="s">
        <v>47</v>
      </c>
    </row>
    <row r="469">
      <c r="A469" s="7" t="s">
        <v>47</v>
      </c>
      <c r="B469" s="7" t="s">
        <v>47</v>
      </c>
      <c r="C469" s="7" t="s">
        <v>47</v>
      </c>
    </row>
    <row r="470">
      <c r="A470" s="7" t="s">
        <v>47</v>
      </c>
      <c r="B470" s="7" t="s">
        <v>47</v>
      </c>
      <c r="C470" s="7" t="s">
        <v>47</v>
      </c>
    </row>
    <row r="471">
      <c r="A471" s="7" t="s">
        <v>47</v>
      </c>
      <c r="B471" s="7" t="s">
        <v>47</v>
      </c>
      <c r="C471" s="7" t="s">
        <v>47</v>
      </c>
    </row>
    <row r="472">
      <c r="A472" s="7" t="s">
        <v>47</v>
      </c>
      <c r="B472" s="7" t="s">
        <v>47</v>
      </c>
      <c r="C472" s="7" t="s">
        <v>47</v>
      </c>
    </row>
    <row r="473">
      <c r="A473" s="7" t="s">
        <v>47</v>
      </c>
      <c r="B473" s="7" t="s">
        <v>47</v>
      </c>
      <c r="C473" s="7" t="s">
        <v>47</v>
      </c>
    </row>
    <row r="474">
      <c r="A474" s="7" t="s">
        <v>47</v>
      </c>
      <c r="B474" s="7" t="s">
        <v>47</v>
      </c>
      <c r="C474" s="7" t="s">
        <v>47</v>
      </c>
    </row>
    <row r="475">
      <c r="A475" s="7" t="s">
        <v>47</v>
      </c>
      <c r="B475" s="7" t="s">
        <v>47</v>
      </c>
      <c r="C475" s="7" t="s">
        <v>47</v>
      </c>
    </row>
    <row r="476">
      <c r="A476" s="7" t="s">
        <v>47</v>
      </c>
      <c r="B476" s="7" t="s">
        <v>47</v>
      </c>
      <c r="C476" s="7" t="s">
        <v>47</v>
      </c>
    </row>
    <row r="477">
      <c r="A477" s="7" t="s">
        <v>47</v>
      </c>
      <c r="B477" s="7" t="s">
        <v>47</v>
      </c>
      <c r="C477" s="7" t="s">
        <v>47</v>
      </c>
    </row>
    <row r="478">
      <c r="A478" s="7" t="s">
        <v>47</v>
      </c>
      <c r="B478" s="7" t="s">
        <v>47</v>
      </c>
      <c r="C478" s="7" t="s">
        <v>47</v>
      </c>
    </row>
    <row r="479">
      <c r="A479" s="7" t="s">
        <v>47</v>
      </c>
      <c r="B479" s="7" t="s">
        <v>47</v>
      </c>
      <c r="C479" s="7" t="s">
        <v>47</v>
      </c>
    </row>
    <row r="480">
      <c r="A480" s="7" t="s">
        <v>47</v>
      </c>
      <c r="B480" s="7" t="s">
        <v>47</v>
      </c>
      <c r="C480" s="7" t="s">
        <v>47</v>
      </c>
    </row>
    <row r="481">
      <c r="A481" s="7" t="s">
        <v>47</v>
      </c>
      <c r="B481" s="7" t="s">
        <v>47</v>
      </c>
      <c r="C481" s="7" t="s">
        <v>47</v>
      </c>
    </row>
    <row r="482">
      <c r="A482" s="7" t="s">
        <v>47</v>
      </c>
      <c r="B482" s="7" t="s">
        <v>47</v>
      </c>
      <c r="C482" s="7" t="s">
        <v>47</v>
      </c>
    </row>
    <row r="483">
      <c r="A483" s="7" t="s">
        <v>47</v>
      </c>
      <c r="B483" s="7" t="s">
        <v>47</v>
      </c>
      <c r="C483" s="7" t="s">
        <v>47</v>
      </c>
    </row>
    <row r="484">
      <c r="A484" s="7" t="s">
        <v>47</v>
      </c>
      <c r="B484" s="7" t="s">
        <v>47</v>
      </c>
      <c r="C484" s="7" t="s">
        <v>47</v>
      </c>
    </row>
    <row r="485">
      <c r="A485" s="7" t="s">
        <v>47</v>
      </c>
      <c r="B485" s="7" t="s">
        <v>47</v>
      </c>
      <c r="C485" s="7" t="s">
        <v>47</v>
      </c>
    </row>
    <row r="486">
      <c r="A486" s="7" t="s">
        <v>47</v>
      </c>
      <c r="B486" s="7" t="s">
        <v>47</v>
      </c>
      <c r="C486" s="7" t="s">
        <v>47</v>
      </c>
    </row>
    <row r="487">
      <c r="A487" s="7" t="s">
        <v>47</v>
      </c>
      <c r="B487" s="7" t="s">
        <v>47</v>
      </c>
      <c r="C487" s="7" t="s">
        <v>47</v>
      </c>
    </row>
    <row r="488">
      <c r="A488" s="7" t="s">
        <v>47</v>
      </c>
      <c r="B488" s="7" t="s">
        <v>47</v>
      </c>
      <c r="C488" s="7" t="s">
        <v>47</v>
      </c>
    </row>
    <row r="489">
      <c r="A489" s="7" t="s">
        <v>47</v>
      </c>
      <c r="B489" s="7" t="s">
        <v>47</v>
      </c>
      <c r="C489" s="7" t="s">
        <v>47</v>
      </c>
    </row>
    <row r="490">
      <c r="A490" s="7" t="s">
        <v>47</v>
      </c>
      <c r="B490" s="7" t="s">
        <v>47</v>
      </c>
      <c r="C490" s="7" t="s">
        <v>47</v>
      </c>
    </row>
    <row r="491">
      <c r="A491" s="7" t="s">
        <v>47</v>
      </c>
      <c r="B491" s="7" t="s">
        <v>47</v>
      </c>
      <c r="C491" s="7" t="s">
        <v>47</v>
      </c>
    </row>
    <row r="492">
      <c r="A492" s="7" t="s">
        <v>47</v>
      </c>
      <c r="B492" s="7" t="s">
        <v>47</v>
      </c>
      <c r="C492" s="7" t="s">
        <v>47</v>
      </c>
    </row>
    <row r="493">
      <c r="A493" s="7" t="s">
        <v>47</v>
      </c>
      <c r="B493" s="7" t="s">
        <v>47</v>
      </c>
      <c r="C493" s="7" t="s">
        <v>47</v>
      </c>
    </row>
    <row r="494">
      <c r="A494" s="7" t="s">
        <v>47</v>
      </c>
      <c r="B494" s="7" t="s">
        <v>47</v>
      </c>
      <c r="C494" s="7" t="s">
        <v>47</v>
      </c>
    </row>
    <row r="495">
      <c r="A495" s="7" t="s">
        <v>47</v>
      </c>
      <c r="B495" s="7" t="s">
        <v>47</v>
      </c>
      <c r="C495" s="7" t="s">
        <v>47</v>
      </c>
    </row>
    <row r="496">
      <c r="A496" s="7" t="s">
        <v>47</v>
      </c>
      <c r="B496" s="7" t="s">
        <v>47</v>
      </c>
      <c r="C496" s="7" t="s">
        <v>47</v>
      </c>
    </row>
    <row r="497">
      <c r="A497" s="7" t="s">
        <v>47</v>
      </c>
      <c r="B497" s="7" t="s">
        <v>47</v>
      </c>
      <c r="C497" s="7" t="s">
        <v>47</v>
      </c>
    </row>
    <row r="498">
      <c r="A498" s="7" t="s">
        <v>47</v>
      </c>
      <c r="B498" s="7" t="s">
        <v>47</v>
      </c>
      <c r="C498" s="7" t="s">
        <v>47</v>
      </c>
    </row>
    <row r="499">
      <c r="A499" s="7" t="s">
        <v>47</v>
      </c>
      <c r="B499" s="7" t="s">
        <v>47</v>
      </c>
      <c r="C499" s="7" t="s">
        <v>47</v>
      </c>
    </row>
    <row r="500">
      <c r="A500" s="7" t="s">
        <v>47</v>
      </c>
      <c r="B500" s="7" t="s">
        <v>47</v>
      </c>
      <c r="C500" s="7" t="s">
        <v>47</v>
      </c>
    </row>
    <row r="501">
      <c r="A501" s="7" t="s">
        <v>47</v>
      </c>
      <c r="B501" s="7" t="s">
        <v>47</v>
      </c>
      <c r="C501" s="7" t="s">
        <v>47</v>
      </c>
    </row>
    <row r="502">
      <c r="A502" s="7" t="s">
        <v>47</v>
      </c>
      <c r="B502" s="7" t="s">
        <v>47</v>
      </c>
      <c r="C502" s="7" t="s">
        <v>47</v>
      </c>
    </row>
    <row r="503">
      <c r="A503" s="7" t="s">
        <v>47</v>
      </c>
      <c r="B503" s="7" t="s">
        <v>47</v>
      </c>
      <c r="C503" s="7" t="s">
        <v>47</v>
      </c>
    </row>
    <row r="504">
      <c r="A504" s="7" t="s">
        <v>47</v>
      </c>
      <c r="B504" s="7" t="s">
        <v>47</v>
      </c>
      <c r="C504" s="7" t="s">
        <v>47</v>
      </c>
    </row>
    <row r="505">
      <c r="A505" s="7" t="s">
        <v>47</v>
      </c>
      <c r="B505" s="7" t="s">
        <v>47</v>
      </c>
      <c r="C505" s="7" t="s">
        <v>47</v>
      </c>
    </row>
    <row r="506">
      <c r="A506" s="7" t="s">
        <v>47</v>
      </c>
      <c r="B506" s="7" t="s">
        <v>47</v>
      </c>
      <c r="C506" s="7" t="s">
        <v>47</v>
      </c>
    </row>
    <row r="507">
      <c r="A507" s="7" t="s">
        <v>47</v>
      </c>
      <c r="B507" s="7" t="s">
        <v>47</v>
      </c>
      <c r="C507" s="7" t="s">
        <v>47</v>
      </c>
    </row>
    <row r="508">
      <c r="A508" s="7" t="s">
        <v>47</v>
      </c>
      <c r="B508" s="7" t="s">
        <v>47</v>
      </c>
      <c r="C508" s="7" t="s">
        <v>47</v>
      </c>
    </row>
    <row r="509">
      <c r="A509" s="7" t="s">
        <v>47</v>
      </c>
      <c r="B509" s="7" t="s">
        <v>47</v>
      </c>
      <c r="C509" s="7" t="s">
        <v>47</v>
      </c>
    </row>
    <row r="510">
      <c r="A510" s="7" t="s">
        <v>47</v>
      </c>
      <c r="B510" s="7" t="s">
        <v>47</v>
      </c>
      <c r="C510" s="7" t="s">
        <v>47</v>
      </c>
    </row>
    <row r="511">
      <c r="A511" s="7" t="s">
        <v>47</v>
      </c>
      <c r="B511" s="7" t="s">
        <v>47</v>
      </c>
      <c r="C511" s="7" t="s">
        <v>47</v>
      </c>
    </row>
    <row r="512">
      <c r="A512" s="7" t="s">
        <v>47</v>
      </c>
      <c r="B512" s="7" t="s">
        <v>47</v>
      </c>
      <c r="C512" s="7" t="s">
        <v>47</v>
      </c>
    </row>
    <row r="513">
      <c r="A513" s="7" t="s">
        <v>47</v>
      </c>
      <c r="B513" s="7" t="s">
        <v>47</v>
      </c>
      <c r="C513" s="7" t="s">
        <v>47</v>
      </c>
    </row>
    <row r="514">
      <c r="A514" s="7" t="s">
        <v>47</v>
      </c>
      <c r="B514" s="7" t="s">
        <v>47</v>
      </c>
      <c r="C514" s="7" t="s">
        <v>47</v>
      </c>
    </row>
    <row r="515">
      <c r="A515" s="7" t="s">
        <v>47</v>
      </c>
      <c r="B515" s="7" t="s">
        <v>47</v>
      </c>
      <c r="C515" s="7" t="s">
        <v>47</v>
      </c>
    </row>
    <row r="516">
      <c r="A516" s="7" t="s">
        <v>47</v>
      </c>
      <c r="B516" s="7" t="s">
        <v>47</v>
      </c>
      <c r="C516" s="7" t="s">
        <v>47</v>
      </c>
    </row>
    <row r="517">
      <c r="A517" s="7" t="s">
        <v>47</v>
      </c>
      <c r="B517" s="7" t="s">
        <v>47</v>
      </c>
      <c r="C517" s="7" t="s">
        <v>47</v>
      </c>
    </row>
    <row r="518">
      <c r="A518" s="7" t="s">
        <v>47</v>
      </c>
      <c r="B518" s="7" t="s">
        <v>47</v>
      </c>
      <c r="C518" s="7" t="s">
        <v>47</v>
      </c>
    </row>
    <row r="519">
      <c r="A519" s="7" t="s">
        <v>47</v>
      </c>
      <c r="B519" s="7" t="s">
        <v>47</v>
      </c>
      <c r="C519" s="7" t="s">
        <v>47</v>
      </c>
    </row>
    <row r="520">
      <c r="A520" s="7" t="s">
        <v>47</v>
      </c>
      <c r="B520" s="7" t="s">
        <v>47</v>
      </c>
      <c r="C520" s="7" t="s">
        <v>47</v>
      </c>
    </row>
    <row r="521">
      <c r="A521" s="7" t="s">
        <v>47</v>
      </c>
      <c r="B521" s="7" t="s">
        <v>47</v>
      </c>
      <c r="C521" s="7" t="s">
        <v>47</v>
      </c>
    </row>
    <row r="522">
      <c r="A522" s="7" t="s">
        <v>47</v>
      </c>
      <c r="B522" s="7" t="s">
        <v>47</v>
      </c>
      <c r="C522" s="7" t="s">
        <v>47</v>
      </c>
    </row>
    <row r="523">
      <c r="A523" s="7" t="s">
        <v>47</v>
      </c>
      <c r="B523" s="7" t="s">
        <v>47</v>
      </c>
      <c r="C523" s="7" t="s">
        <v>47</v>
      </c>
    </row>
    <row r="524">
      <c r="A524" s="7" t="s">
        <v>47</v>
      </c>
      <c r="B524" s="7" t="s">
        <v>47</v>
      </c>
      <c r="C524" s="7" t="s">
        <v>47</v>
      </c>
    </row>
    <row r="525">
      <c r="A525" s="7" t="s">
        <v>47</v>
      </c>
      <c r="B525" s="7" t="s">
        <v>47</v>
      </c>
      <c r="C525" s="7" t="s">
        <v>47</v>
      </c>
    </row>
    <row r="526">
      <c r="A526" s="7" t="s">
        <v>47</v>
      </c>
      <c r="B526" s="7" t="s">
        <v>47</v>
      </c>
      <c r="C526" s="7" t="s">
        <v>47</v>
      </c>
    </row>
    <row r="527">
      <c r="A527" s="7" t="s">
        <v>47</v>
      </c>
      <c r="B527" s="7" t="s">
        <v>47</v>
      </c>
      <c r="C527" s="7" t="s">
        <v>47</v>
      </c>
    </row>
    <row r="528">
      <c r="A528" s="7" t="s">
        <v>47</v>
      </c>
      <c r="B528" s="7" t="s">
        <v>47</v>
      </c>
      <c r="C528" s="7" t="s">
        <v>47</v>
      </c>
    </row>
    <row r="529">
      <c r="A529" s="7" t="s">
        <v>47</v>
      </c>
      <c r="B529" s="7" t="s">
        <v>47</v>
      </c>
      <c r="C529" s="7" t="s">
        <v>47</v>
      </c>
    </row>
    <row r="530">
      <c r="A530" s="7" t="s">
        <v>47</v>
      </c>
      <c r="B530" s="7" t="s">
        <v>47</v>
      </c>
      <c r="C530" s="7" t="s">
        <v>47</v>
      </c>
    </row>
    <row r="531">
      <c r="A531" s="7" t="s">
        <v>47</v>
      </c>
      <c r="B531" s="7" t="s">
        <v>47</v>
      </c>
      <c r="C531" s="7" t="s">
        <v>47</v>
      </c>
    </row>
    <row r="532">
      <c r="A532" s="7" t="s">
        <v>47</v>
      </c>
      <c r="B532" s="7" t="s">
        <v>47</v>
      </c>
      <c r="C532" s="7" t="s">
        <v>47</v>
      </c>
    </row>
    <row r="533">
      <c r="A533" s="7" t="s">
        <v>47</v>
      </c>
      <c r="B533" s="7" t="s">
        <v>47</v>
      </c>
      <c r="C533" s="7" t="s">
        <v>47</v>
      </c>
    </row>
    <row r="534">
      <c r="A534" s="7" t="s">
        <v>47</v>
      </c>
      <c r="B534" s="7" t="s">
        <v>47</v>
      </c>
      <c r="C534" s="7" t="s">
        <v>47</v>
      </c>
    </row>
    <row r="535">
      <c r="A535" s="7" t="s">
        <v>47</v>
      </c>
      <c r="B535" s="7" t="s">
        <v>47</v>
      </c>
      <c r="C535" s="7" t="s">
        <v>47</v>
      </c>
    </row>
    <row r="536">
      <c r="A536" s="7" t="s">
        <v>47</v>
      </c>
      <c r="B536" s="7" t="s">
        <v>47</v>
      </c>
      <c r="C536" s="7" t="s">
        <v>47</v>
      </c>
    </row>
    <row r="537">
      <c r="A537" s="7" t="s">
        <v>47</v>
      </c>
      <c r="B537" s="7" t="s">
        <v>47</v>
      </c>
      <c r="C537" s="7" t="s">
        <v>47</v>
      </c>
    </row>
    <row r="538">
      <c r="A538" s="7" t="s">
        <v>47</v>
      </c>
      <c r="B538" s="7" t="s">
        <v>47</v>
      </c>
      <c r="C538" s="7" t="s">
        <v>47</v>
      </c>
    </row>
    <row r="539">
      <c r="A539" s="7" t="s">
        <v>47</v>
      </c>
      <c r="B539" s="7" t="s">
        <v>47</v>
      </c>
      <c r="C539" s="7" t="s">
        <v>47</v>
      </c>
    </row>
    <row r="540">
      <c r="A540" s="7" t="s">
        <v>47</v>
      </c>
      <c r="B540" s="7" t="s">
        <v>47</v>
      </c>
      <c r="C540" s="7" t="s">
        <v>47</v>
      </c>
    </row>
    <row r="541">
      <c r="A541" s="7" t="s">
        <v>47</v>
      </c>
      <c r="B541" s="7" t="s">
        <v>47</v>
      </c>
      <c r="C541" s="7" t="s">
        <v>47</v>
      </c>
    </row>
    <row r="542">
      <c r="A542" s="7" t="s">
        <v>47</v>
      </c>
      <c r="B542" s="7" t="s">
        <v>47</v>
      </c>
      <c r="C542" s="7" t="s">
        <v>47</v>
      </c>
    </row>
    <row r="543">
      <c r="A543" s="7" t="s">
        <v>47</v>
      </c>
      <c r="B543" s="7" t="s">
        <v>47</v>
      </c>
      <c r="C543" s="7" t="s">
        <v>47</v>
      </c>
    </row>
    <row r="544">
      <c r="A544" s="7" t="s">
        <v>47</v>
      </c>
      <c r="B544" s="7" t="s">
        <v>47</v>
      </c>
      <c r="C544" s="7" t="s">
        <v>47</v>
      </c>
    </row>
    <row r="545">
      <c r="A545" s="7" t="s">
        <v>47</v>
      </c>
      <c r="B545" s="7" t="s">
        <v>47</v>
      </c>
      <c r="C545" s="7" t="s">
        <v>47</v>
      </c>
    </row>
    <row r="546">
      <c r="A546" s="7" t="s">
        <v>47</v>
      </c>
      <c r="B546" s="7" t="s">
        <v>47</v>
      </c>
      <c r="C546" s="7" t="s">
        <v>47</v>
      </c>
    </row>
    <row r="547">
      <c r="A547" s="7" t="s">
        <v>47</v>
      </c>
      <c r="B547" s="7" t="s">
        <v>47</v>
      </c>
      <c r="C547" s="7" t="s">
        <v>47</v>
      </c>
    </row>
    <row r="548">
      <c r="A548" s="7" t="s">
        <v>47</v>
      </c>
      <c r="B548" s="7" t="s">
        <v>47</v>
      </c>
      <c r="C548" s="7" t="s">
        <v>47</v>
      </c>
    </row>
    <row r="549">
      <c r="A549" s="7" t="s">
        <v>47</v>
      </c>
      <c r="B549" s="7" t="s">
        <v>47</v>
      </c>
      <c r="C549" s="7" t="s">
        <v>47</v>
      </c>
    </row>
    <row r="550">
      <c r="A550" s="7" t="s">
        <v>47</v>
      </c>
      <c r="B550" s="7" t="s">
        <v>47</v>
      </c>
      <c r="C550" s="7" t="s">
        <v>47</v>
      </c>
    </row>
    <row r="551">
      <c r="A551" s="7" t="s">
        <v>47</v>
      </c>
      <c r="B551" s="7" t="s">
        <v>47</v>
      </c>
      <c r="C551" s="7" t="s">
        <v>47</v>
      </c>
    </row>
    <row r="552">
      <c r="A552" s="7" t="s">
        <v>47</v>
      </c>
      <c r="B552" s="7" t="s">
        <v>47</v>
      </c>
      <c r="C552" s="7" t="s">
        <v>47</v>
      </c>
    </row>
    <row r="553">
      <c r="A553" s="7" t="s">
        <v>47</v>
      </c>
      <c r="B553" s="7" t="s">
        <v>47</v>
      </c>
      <c r="C553" s="7" t="s">
        <v>47</v>
      </c>
    </row>
    <row r="554">
      <c r="A554" s="7" t="s">
        <v>47</v>
      </c>
      <c r="B554" s="7" t="s">
        <v>47</v>
      </c>
      <c r="C554" s="7" t="s">
        <v>47</v>
      </c>
    </row>
    <row r="555">
      <c r="A555" s="7" t="s">
        <v>47</v>
      </c>
      <c r="B555" s="7" t="s">
        <v>47</v>
      </c>
      <c r="C555" s="7" t="s">
        <v>47</v>
      </c>
    </row>
    <row r="556">
      <c r="A556" s="7" t="s">
        <v>47</v>
      </c>
      <c r="B556" s="7" t="s">
        <v>47</v>
      </c>
      <c r="C556" s="7" t="s">
        <v>47</v>
      </c>
    </row>
    <row r="557">
      <c r="A557" s="7" t="s">
        <v>47</v>
      </c>
      <c r="B557" s="7" t="s">
        <v>47</v>
      </c>
      <c r="C557" s="7" t="s">
        <v>47</v>
      </c>
    </row>
    <row r="558">
      <c r="A558" s="7" t="s">
        <v>47</v>
      </c>
      <c r="B558" s="7" t="s">
        <v>47</v>
      </c>
      <c r="C558" s="7" t="s">
        <v>47</v>
      </c>
    </row>
    <row r="559">
      <c r="A559" s="7" t="s">
        <v>47</v>
      </c>
      <c r="B559" s="7" t="s">
        <v>47</v>
      </c>
      <c r="C559" s="7" t="s">
        <v>47</v>
      </c>
    </row>
    <row r="560">
      <c r="A560" s="7" t="s">
        <v>47</v>
      </c>
      <c r="B560" s="7" t="s">
        <v>47</v>
      </c>
      <c r="C560" s="7" t="s">
        <v>47</v>
      </c>
    </row>
    <row r="561">
      <c r="A561" s="7" t="s">
        <v>47</v>
      </c>
      <c r="B561" s="7" t="s">
        <v>47</v>
      </c>
      <c r="C561" s="7" t="s">
        <v>47</v>
      </c>
    </row>
    <row r="562">
      <c r="A562" s="7" t="s">
        <v>47</v>
      </c>
      <c r="B562" s="7" t="s">
        <v>47</v>
      </c>
      <c r="C562" s="7" t="s">
        <v>47</v>
      </c>
    </row>
    <row r="563">
      <c r="A563" s="7" t="s">
        <v>47</v>
      </c>
      <c r="B563" s="7" t="s">
        <v>47</v>
      </c>
      <c r="C563" s="7" t="s">
        <v>47</v>
      </c>
    </row>
    <row r="564">
      <c r="A564" s="7" t="s">
        <v>47</v>
      </c>
      <c r="B564" s="7" t="s">
        <v>47</v>
      </c>
      <c r="C564" s="7" t="s">
        <v>47</v>
      </c>
    </row>
    <row r="565">
      <c r="A565" s="7" t="s">
        <v>47</v>
      </c>
      <c r="B565" s="7" t="s">
        <v>47</v>
      </c>
      <c r="C565" s="7" t="s">
        <v>47</v>
      </c>
    </row>
    <row r="566">
      <c r="A566" s="7" t="s">
        <v>47</v>
      </c>
      <c r="B566" s="7" t="s">
        <v>47</v>
      </c>
      <c r="C566" s="7" t="s">
        <v>47</v>
      </c>
    </row>
    <row r="567">
      <c r="A567" s="7" t="s">
        <v>47</v>
      </c>
      <c r="B567" s="7" t="s">
        <v>47</v>
      </c>
      <c r="C567" s="7" t="s">
        <v>47</v>
      </c>
    </row>
    <row r="568">
      <c r="A568" s="7" t="s">
        <v>47</v>
      </c>
      <c r="B568" s="7" t="s">
        <v>47</v>
      </c>
      <c r="C568" s="7" t="s">
        <v>47</v>
      </c>
    </row>
    <row r="569">
      <c r="A569" s="7" t="s">
        <v>47</v>
      </c>
      <c r="B569" s="7" t="s">
        <v>47</v>
      </c>
      <c r="C569" s="7" t="s">
        <v>47</v>
      </c>
    </row>
    <row r="570">
      <c r="A570" s="7" t="s">
        <v>47</v>
      </c>
      <c r="B570" s="7" t="s">
        <v>47</v>
      </c>
      <c r="C570" s="7" t="s">
        <v>47</v>
      </c>
    </row>
    <row r="571">
      <c r="A571" s="7" t="s">
        <v>47</v>
      </c>
      <c r="B571" s="7" t="s">
        <v>47</v>
      </c>
      <c r="C571" s="7" t="s">
        <v>47</v>
      </c>
    </row>
    <row r="572">
      <c r="A572" s="7" t="s">
        <v>47</v>
      </c>
      <c r="B572" s="7" t="s">
        <v>47</v>
      </c>
      <c r="C572" s="7" t="s">
        <v>47</v>
      </c>
    </row>
    <row r="573">
      <c r="A573" s="7" t="s">
        <v>47</v>
      </c>
      <c r="B573" s="7" t="s">
        <v>47</v>
      </c>
      <c r="C573" s="7" t="s">
        <v>47</v>
      </c>
    </row>
    <row r="574">
      <c r="A574" s="7" t="s">
        <v>47</v>
      </c>
      <c r="B574" s="7" t="s">
        <v>47</v>
      </c>
      <c r="C574" s="7" t="s">
        <v>47</v>
      </c>
    </row>
    <row r="575">
      <c r="A575" s="7" t="s">
        <v>47</v>
      </c>
      <c r="B575" s="7" t="s">
        <v>47</v>
      </c>
      <c r="C575" s="7" t="s">
        <v>47</v>
      </c>
    </row>
    <row r="576">
      <c r="A576" s="7" t="s">
        <v>47</v>
      </c>
      <c r="B576" s="7" t="s">
        <v>47</v>
      </c>
      <c r="C576" s="7" t="s">
        <v>47</v>
      </c>
    </row>
    <row r="577">
      <c r="A577" s="7" t="s">
        <v>47</v>
      </c>
      <c r="B577" s="7" t="s">
        <v>47</v>
      </c>
      <c r="C577" s="7" t="s">
        <v>47</v>
      </c>
    </row>
    <row r="578">
      <c r="A578" s="7" t="s">
        <v>47</v>
      </c>
      <c r="B578" s="7" t="s">
        <v>47</v>
      </c>
      <c r="C578" s="7" t="s">
        <v>47</v>
      </c>
    </row>
    <row r="579">
      <c r="A579" s="7" t="s">
        <v>47</v>
      </c>
      <c r="B579" s="7" t="s">
        <v>47</v>
      </c>
      <c r="C579" s="7" t="s">
        <v>47</v>
      </c>
    </row>
    <row r="580">
      <c r="A580" s="7" t="s">
        <v>47</v>
      </c>
      <c r="B580" s="7" t="s">
        <v>47</v>
      </c>
      <c r="C580" s="7" t="s">
        <v>47</v>
      </c>
    </row>
    <row r="581">
      <c r="A581" s="7" t="s">
        <v>47</v>
      </c>
      <c r="B581" s="7" t="s">
        <v>47</v>
      </c>
      <c r="C581" s="7" t="s">
        <v>47</v>
      </c>
    </row>
    <row r="582">
      <c r="A582" s="7" t="s">
        <v>47</v>
      </c>
      <c r="B582" s="7" t="s">
        <v>47</v>
      </c>
      <c r="C582" s="7" t="s">
        <v>47</v>
      </c>
    </row>
    <row r="583">
      <c r="A583" s="7" t="s">
        <v>47</v>
      </c>
      <c r="B583" s="7" t="s">
        <v>47</v>
      </c>
      <c r="C583" s="7" t="s">
        <v>47</v>
      </c>
    </row>
    <row r="584">
      <c r="A584" s="7" t="s">
        <v>47</v>
      </c>
      <c r="B584" s="7" t="s">
        <v>47</v>
      </c>
      <c r="C584" s="7" t="s">
        <v>47</v>
      </c>
    </row>
    <row r="585">
      <c r="A585" s="7" t="s">
        <v>47</v>
      </c>
      <c r="B585" s="7" t="s">
        <v>47</v>
      </c>
      <c r="C585" s="7" t="s">
        <v>47</v>
      </c>
    </row>
    <row r="586">
      <c r="A586" s="7" t="s">
        <v>47</v>
      </c>
      <c r="B586" s="7" t="s">
        <v>47</v>
      </c>
      <c r="C586" s="7" t="s">
        <v>47</v>
      </c>
    </row>
    <row r="587">
      <c r="A587" s="7" t="s">
        <v>47</v>
      </c>
      <c r="B587" s="7" t="s">
        <v>47</v>
      </c>
      <c r="C587" s="7" t="s">
        <v>47</v>
      </c>
    </row>
    <row r="588">
      <c r="A588" s="7" t="s">
        <v>47</v>
      </c>
      <c r="B588" s="7" t="s">
        <v>47</v>
      </c>
      <c r="C588" s="7" t="s">
        <v>47</v>
      </c>
    </row>
    <row r="589">
      <c r="A589" s="7" t="s">
        <v>47</v>
      </c>
      <c r="B589" s="7" t="s">
        <v>47</v>
      </c>
      <c r="C589" s="7" t="s">
        <v>47</v>
      </c>
    </row>
    <row r="590">
      <c r="A590" s="7" t="s">
        <v>47</v>
      </c>
      <c r="B590" s="7" t="s">
        <v>47</v>
      </c>
      <c r="C590" s="7" t="s">
        <v>47</v>
      </c>
    </row>
    <row r="591">
      <c r="A591" s="7" t="s">
        <v>47</v>
      </c>
      <c r="B591" s="7" t="s">
        <v>47</v>
      </c>
      <c r="C591" s="7" t="s">
        <v>47</v>
      </c>
    </row>
    <row r="592">
      <c r="A592" s="7" t="s">
        <v>47</v>
      </c>
      <c r="B592" s="7" t="s">
        <v>47</v>
      </c>
      <c r="C592" s="7" t="s">
        <v>47</v>
      </c>
    </row>
    <row r="593">
      <c r="A593" s="7" t="s">
        <v>47</v>
      </c>
      <c r="B593" s="7" t="s">
        <v>47</v>
      </c>
      <c r="C593" s="7" t="s">
        <v>47</v>
      </c>
    </row>
    <row r="594">
      <c r="A594" s="7" t="s">
        <v>47</v>
      </c>
      <c r="B594" s="7" t="s">
        <v>47</v>
      </c>
      <c r="C594" s="7" t="s">
        <v>47</v>
      </c>
    </row>
    <row r="595">
      <c r="A595" s="7" t="s">
        <v>47</v>
      </c>
      <c r="B595" s="7" t="s">
        <v>47</v>
      </c>
      <c r="C595" s="7" t="s">
        <v>47</v>
      </c>
    </row>
    <row r="596">
      <c r="A596" s="7" t="s">
        <v>47</v>
      </c>
      <c r="B596" s="7" t="s">
        <v>47</v>
      </c>
      <c r="C596" s="7" t="s">
        <v>47</v>
      </c>
    </row>
    <row r="597">
      <c r="A597" s="7" t="s">
        <v>47</v>
      </c>
      <c r="B597" s="7" t="s">
        <v>47</v>
      </c>
      <c r="C597" s="7" t="s">
        <v>47</v>
      </c>
    </row>
    <row r="598">
      <c r="A598" s="7" t="s">
        <v>47</v>
      </c>
      <c r="B598" s="7" t="s">
        <v>47</v>
      </c>
      <c r="C598" s="7" t="s">
        <v>47</v>
      </c>
    </row>
    <row r="599">
      <c r="A599" s="7" t="s">
        <v>47</v>
      </c>
      <c r="B599" s="7" t="s">
        <v>47</v>
      </c>
      <c r="C599" s="7" t="s">
        <v>47</v>
      </c>
    </row>
    <row r="600">
      <c r="A600" s="7" t="s">
        <v>47</v>
      </c>
      <c r="B600" s="7" t="s">
        <v>47</v>
      </c>
      <c r="C600" s="7" t="s">
        <v>47</v>
      </c>
    </row>
    <row r="601">
      <c r="A601" s="7" t="s">
        <v>47</v>
      </c>
      <c r="B601" s="7" t="s">
        <v>47</v>
      </c>
      <c r="C601" s="7" t="s">
        <v>47</v>
      </c>
    </row>
    <row r="602">
      <c r="A602" s="7" t="s">
        <v>47</v>
      </c>
      <c r="B602" s="7" t="s">
        <v>47</v>
      </c>
      <c r="C602" s="7" t="s">
        <v>47</v>
      </c>
    </row>
    <row r="603">
      <c r="A603" s="7" t="s">
        <v>47</v>
      </c>
      <c r="B603" s="7" t="s">
        <v>47</v>
      </c>
      <c r="C603" s="7" t="s">
        <v>47</v>
      </c>
    </row>
    <row r="604">
      <c r="A604" s="7" t="s">
        <v>47</v>
      </c>
      <c r="B604" s="7" t="s">
        <v>47</v>
      </c>
      <c r="C604" s="7" t="s">
        <v>47</v>
      </c>
    </row>
    <row r="605">
      <c r="A605" s="7" t="s">
        <v>47</v>
      </c>
      <c r="B605" s="7" t="s">
        <v>47</v>
      </c>
      <c r="C605" s="7" t="s">
        <v>47</v>
      </c>
    </row>
    <row r="606">
      <c r="A606" s="7" t="s">
        <v>47</v>
      </c>
      <c r="B606" s="7" t="s">
        <v>47</v>
      </c>
      <c r="C606" s="7" t="s">
        <v>47</v>
      </c>
    </row>
    <row r="607">
      <c r="A607" s="7" t="s">
        <v>47</v>
      </c>
      <c r="B607" s="7" t="s">
        <v>47</v>
      </c>
      <c r="C607" s="7" t="s">
        <v>47</v>
      </c>
    </row>
    <row r="608">
      <c r="A608" s="7" t="s">
        <v>47</v>
      </c>
      <c r="B608" s="7" t="s">
        <v>47</v>
      </c>
      <c r="C608" s="7" t="s">
        <v>47</v>
      </c>
    </row>
    <row r="609">
      <c r="A609" s="7" t="s">
        <v>47</v>
      </c>
      <c r="B609" s="7" t="s">
        <v>47</v>
      </c>
      <c r="C609" s="7" t="s">
        <v>47</v>
      </c>
    </row>
    <row r="610">
      <c r="A610" s="7" t="s">
        <v>47</v>
      </c>
      <c r="B610" s="7" t="s">
        <v>47</v>
      </c>
      <c r="C610" s="7" t="s">
        <v>47</v>
      </c>
    </row>
    <row r="611">
      <c r="A611" s="7" t="s">
        <v>47</v>
      </c>
      <c r="B611" s="7" t="s">
        <v>47</v>
      </c>
      <c r="C611" s="7" t="s">
        <v>47</v>
      </c>
    </row>
    <row r="612">
      <c r="A612" s="7" t="s">
        <v>47</v>
      </c>
      <c r="B612" s="7" t="s">
        <v>47</v>
      </c>
      <c r="C612" s="7" t="s">
        <v>47</v>
      </c>
    </row>
    <row r="613">
      <c r="A613" s="7" t="s">
        <v>47</v>
      </c>
      <c r="B613" s="7" t="s">
        <v>47</v>
      </c>
      <c r="C613" s="7" t="s">
        <v>47</v>
      </c>
    </row>
    <row r="614">
      <c r="A614" s="7" t="s">
        <v>47</v>
      </c>
      <c r="B614" s="7" t="s">
        <v>47</v>
      </c>
      <c r="C614" s="7" t="s">
        <v>47</v>
      </c>
    </row>
    <row r="615">
      <c r="A615" s="7" t="s">
        <v>47</v>
      </c>
      <c r="B615" s="7" t="s">
        <v>47</v>
      </c>
      <c r="C615" s="7" t="s">
        <v>47</v>
      </c>
    </row>
    <row r="616">
      <c r="A616" s="7" t="s">
        <v>47</v>
      </c>
      <c r="B616" s="7" t="s">
        <v>47</v>
      </c>
      <c r="C616" s="7" t="s">
        <v>47</v>
      </c>
    </row>
    <row r="617">
      <c r="A617" s="7" t="s">
        <v>47</v>
      </c>
      <c r="B617" s="7" t="s">
        <v>47</v>
      </c>
      <c r="C617" s="7" t="s">
        <v>47</v>
      </c>
    </row>
    <row r="618">
      <c r="A618" s="7" t="s">
        <v>47</v>
      </c>
      <c r="B618" s="7" t="s">
        <v>47</v>
      </c>
      <c r="C618" s="7" t="s">
        <v>47</v>
      </c>
    </row>
    <row r="619">
      <c r="A619" s="7" t="s">
        <v>47</v>
      </c>
      <c r="B619" s="7" t="s">
        <v>47</v>
      </c>
      <c r="C619" s="7" t="s">
        <v>47</v>
      </c>
    </row>
    <row r="620">
      <c r="A620" s="7" t="s">
        <v>47</v>
      </c>
      <c r="B620" s="7" t="s">
        <v>47</v>
      </c>
      <c r="C620" s="7" t="s">
        <v>47</v>
      </c>
    </row>
    <row r="621">
      <c r="A621" s="7" t="s">
        <v>47</v>
      </c>
      <c r="B621" s="7" t="s">
        <v>47</v>
      </c>
      <c r="C621" s="7" t="s">
        <v>47</v>
      </c>
    </row>
    <row r="622">
      <c r="A622" s="7" t="s">
        <v>47</v>
      </c>
      <c r="B622" s="7" t="s">
        <v>47</v>
      </c>
      <c r="C622" s="7" t="s">
        <v>47</v>
      </c>
    </row>
    <row r="623">
      <c r="A623" s="7" t="s">
        <v>47</v>
      </c>
      <c r="B623" s="7" t="s">
        <v>47</v>
      </c>
      <c r="C623" s="7" t="s">
        <v>47</v>
      </c>
    </row>
    <row r="624">
      <c r="A624" s="7" t="s">
        <v>47</v>
      </c>
      <c r="B624" s="7" t="s">
        <v>47</v>
      </c>
      <c r="C624" s="7" t="s">
        <v>47</v>
      </c>
    </row>
    <row r="625">
      <c r="A625" s="7" t="s">
        <v>47</v>
      </c>
      <c r="B625" s="7" t="s">
        <v>47</v>
      </c>
      <c r="C625" s="7" t="s">
        <v>47</v>
      </c>
    </row>
    <row r="626">
      <c r="A626" s="7" t="s">
        <v>47</v>
      </c>
      <c r="B626" s="7" t="s">
        <v>47</v>
      </c>
      <c r="C626" s="7" t="s">
        <v>47</v>
      </c>
    </row>
    <row r="627">
      <c r="A627" s="7" t="s">
        <v>47</v>
      </c>
      <c r="B627" s="7" t="s">
        <v>47</v>
      </c>
      <c r="C627" s="7" t="s">
        <v>47</v>
      </c>
    </row>
    <row r="628">
      <c r="A628" s="7" t="s">
        <v>47</v>
      </c>
      <c r="B628" s="7" t="s">
        <v>47</v>
      </c>
      <c r="C628" s="7" t="s">
        <v>47</v>
      </c>
    </row>
    <row r="629">
      <c r="A629" s="7" t="s">
        <v>47</v>
      </c>
      <c r="B629" s="7" t="s">
        <v>47</v>
      </c>
      <c r="C629" s="7" t="s">
        <v>47</v>
      </c>
    </row>
    <row r="630">
      <c r="A630" s="7" t="s">
        <v>47</v>
      </c>
      <c r="B630" s="7" t="s">
        <v>47</v>
      </c>
      <c r="C630" s="7" t="s">
        <v>47</v>
      </c>
    </row>
    <row r="631">
      <c r="A631" s="7" t="s">
        <v>47</v>
      </c>
      <c r="B631" s="7" t="s">
        <v>47</v>
      </c>
      <c r="C631" s="7" t="s">
        <v>47</v>
      </c>
    </row>
    <row r="632">
      <c r="A632" s="7" t="s">
        <v>47</v>
      </c>
      <c r="B632" s="7" t="s">
        <v>47</v>
      </c>
      <c r="C632" s="7" t="s">
        <v>47</v>
      </c>
    </row>
    <row r="633">
      <c r="A633" s="7" t="s">
        <v>47</v>
      </c>
      <c r="B633" s="7" t="s">
        <v>47</v>
      </c>
      <c r="C633" s="7" t="s">
        <v>47</v>
      </c>
    </row>
    <row r="634">
      <c r="A634" s="7" t="s">
        <v>47</v>
      </c>
      <c r="B634" s="7" t="s">
        <v>47</v>
      </c>
      <c r="C634" s="7" t="s">
        <v>47</v>
      </c>
    </row>
    <row r="635">
      <c r="A635" s="7" t="s">
        <v>47</v>
      </c>
      <c r="B635" s="7" t="s">
        <v>47</v>
      </c>
      <c r="C635" s="7" t="s">
        <v>47</v>
      </c>
    </row>
    <row r="636">
      <c r="A636" s="7" t="s">
        <v>47</v>
      </c>
      <c r="B636" s="7" t="s">
        <v>47</v>
      </c>
      <c r="C636" s="7" t="s">
        <v>47</v>
      </c>
    </row>
    <row r="637">
      <c r="A637" s="7" t="s">
        <v>47</v>
      </c>
      <c r="B637" s="7" t="s">
        <v>47</v>
      </c>
      <c r="C637" s="7" t="s">
        <v>47</v>
      </c>
    </row>
    <row r="638">
      <c r="A638" s="7" t="s">
        <v>47</v>
      </c>
      <c r="B638" s="7" t="s">
        <v>47</v>
      </c>
      <c r="C638" s="7" t="s">
        <v>47</v>
      </c>
    </row>
    <row r="639">
      <c r="A639" s="7" t="s">
        <v>47</v>
      </c>
      <c r="B639" s="7" t="s">
        <v>47</v>
      </c>
      <c r="C639" s="7" t="s">
        <v>47</v>
      </c>
    </row>
    <row r="640">
      <c r="A640" s="7" t="s">
        <v>47</v>
      </c>
      <c r="B640" s="7" t="s">
        <v>47</v>
      </c>
      <c r="C640" s="7" t="s">
        <v>47</v>
      </c>
    </row>
    <row r="641">
      <c r="A641" s="7" t="s">
        <v>47</v>
      </c>
      <c r="B641" s="7" t="s">
        <v>47</v>
      </c>
      <c r="C641" s="7" t="s">
        <v>47</v>
      </c>
    </row>
    <row r="642">
      <c r="A642" s="7" t="s">
        <v>47</v>
      </c>
      <c r="B642" s="7" t="s">
        <v>47</v>
      </c>
      <c r="C642" s="7" t="s">
        <v>47</v>
      </c>
    </row>
    <row r="643">
      <c r="A643" s="7" t="s">
        <v>47</v>
      </c>
      <c r="B643" s="7" t="s">
        <v>47</v>
      </c>
      <c r="C643" s="7" t="s">
        <v>47</v>
      </c>
    </row>
    <row r="644">
      <c r="A644" s="7" t="s">
        <v>47</v>
      </c>
      <c r="B644" s="7" t="s">
        <v>47</v>
      </c>
      <c r="C644" s="7" t="s">
        <v>47</v>
      </c>
    </row>
    <row r="645">
      <c r="A645" s="7" t="s">
        <v>47</v>
      </c>
      <c r="B645" s="7" t="s">
        <v>47</v>
      </c>
      <c r="C645" s="7" t="s">
        <v>47</v>
      </c>
    </row>
    <row r="646">
      <c r="A646" s="7" t="s">
        <v>47</v>
      </c>
      <c r="B646" s="7" t="s">
        <v>47</v>
      </c>
      <c r="C646" s="7" t="s">
        <v>47</v>
      </c>
    </row>
    <row r="647">
      <c r="A647" s="7" t="s">
        <v>47</v>
      </c>
      <c r="B647" s="7" t="s">
        <v>47</v>
      </c>
      <c r="C647" s="7" t="s">
        <v>47</v>
      </c>
    </row>
    <row r="648">
      <c r="A648" s="7" t="s">
        <v>47</v>
      </c>
      <c r="B648" s="7" t="s">
        <v>47</v>
      </c>
      <c r="C648" s="7" t="s">
        <v>47</v>
      </c>
    </row>
    <row r="649">
      <c r="A649" s="7" t="s">
        <v>47</v>
      </c>
      <c r="B649" s="7" t="s">
        <v>47</v>
      </c>
      <c r="C649" s="7" t="s">
        <v>47</v>
      </c>
    </row>
    <row r="650">
      <c r="A650" s="7" t="s">
        <v>47</v>
      </c>
      <c r="B650" s="7" t="s">
        <v>47</v>
      </c>
      <c r="C650" s="7" t="s">
        <v>47</v>
      </c>
    </row>
    <row r="651">
      <c r="A651" s="7" t="s">
        <v>47</v>
      </c>
      <c r="B651" s="7" t="s">
        <v>47</v>
      </c>
      <c r="C651" s="7" t="s">
        <v>47</v>
      </c>
    </row>
    <row r="652">
      <c r="A652" s="7" t="s">
        <v>47</v>
      </c>
      <c r="B652" s="7" t="s">
        <v>47</v>
      </c>
      <c r="C652" s="7" t="s">
        <v>47</v>
      </c>
    </row>
    <row r="653">
      <c r="A653" s="7" t="s">
        <v>47</v>
      </c>
      <c r="B653" s="7" t="s">
        <v>47</v>
      </c>
      <c r="C653" s="7" t="s">
        <v>47</v>
      </c>
    </row>
    <row r="654">
      <c r="A654" s="7" t="s">
        <v>47</v>
      </c>
      <c r="B654" s="7" t="s">
        <v>47</v>
      </c>
      <c r="C654" s="7" t="s">
        <v>47</v>
      </c>
    </row>
    <row r="655">
      <c r="A655" s="7" t="s">
        <v>47</v>
      </c>
      <c r="B655" s="7" t="s">
        <v>47</v>
      </c>
      <c r="C655" s="7" t="s">
        <v>47</v>
      </c>
    </row>
    <row r="656">
      <c r="A656" s="7" t="s">
        <v>47</v>
      </c>
      <c r="B656" s="7" t="s">
        <v>47</v>
      </c>
      <c r="C656" s="7" t="s">
        <v>47</v>
      </c>
    </row>
    <row r="657">
      <c r="A657" s="7" t="s">
        <v>47</v>
      </c>
      <c r="B657" s="7" t="s">
        <v>47</v>
      </c>
      <c r="C657" s="7" t="s">
        <v>47</v>
      </c>
    </row>
    <row r="658">
      <c r="A658" s="7" t="s">
        <v>47</v>
      </c>
      <c r="B658" s="7" t="s">
        <v>47</v>
      </c>
      <c r="C658" s="7" t="s">
        <v>47</v>
      </c>
    </row>
    <row r="659">
      <c r="A659" s="7" t="s">
        <v>47</v>
      </c>
      <c r="B659" s="7" t="s">
        <v>47</v>
      </c>
      <c r="C659" s="7" t="s">
        <v>47</v>
      </c>
    </row>
    <row r="660">
      <c r="A660" s="7" t="s">
        <v>47</v>
      </c>
      <c r="B660" s="7" t="s">
        <v>47</v>
      </c>
      <c r="C660" s="7" t="s">
        <v>47</v>
      </c>
    </row>
    <row r="661">
      <c r="A661" s="7" t="s">
        <v>47</v>
      </c>
      <c r="B661" s="7" t="s">
        <v>47</v>
      </c>
      <c r="C661" s="7" t="s">
        <v>47</v>
      </c>
    </row>
    <row r="662">
      <c r="A662" s="7" t="s">
        <v>47</v>
      </c>
      <c r="B662" s="7" t="s">
        <v>47</v>
      </c>
      <c r="C662" s="7" t="s">
        <v>47</v>
      </c>
    </row>
    <row r="663">
      <c r="A663" s="7" t="s">
        <v>47</v>
      </c>
      <c r="B663" s="7" t="s">
        <v>47</v>
      </c>
      <c r="C663" s="7" t="s">
        <v>47</v>
      </c>
    </row>
    <row r="664">
      <c r="A664" s="7" t="s">
        <v>47</v>
      </c>
      <c r="B664" s="7" t="s">
        <v>47</v>
      </c>
      <c r="C664" s="7" t="s">
        <v>47</v>
      </c>
    </row>
    <row r="665">
      <c r="A665" s="7" t="s">
        <v>47</v>
      </c>
      <c r="B665" s="7" t="s">
        <v>47</v>
      </c>
      <c r="C665" s="7" t="s">
        <v>47</v>
      </c>
    </row>
    <row r="666">
      <c r="A666" s="7" t="s">
        <v>47</v>
      </c>
      <c r="B666" s="7" t="s">
        <v>47</v>
      </c>
      <c r="C666" s="7" t="s">
        <v>47</v>
      </c>
    </row>
    <row r="667">
      <c r="A667" s="7" t="s">
        <v>47</v>
      </c>
      <c r="B667" s="7" t="s">
        <v>47</v>
      </c>
      <c r="C667" s="7" t="s">
        <v>47</v>
      </c>
    </row>
    <row r="668">
      <c r="A668" s="7" t="s">
        <v>47</v>
      </c>
      <c r="B668" s="7" t="s">
        <v>47</v>
      </c>
      <c r="C668" s="7" t="s">
        <v>47</v>
      </c>
    </row>
    <row r="669">
      <c r="A669" s="7" t="s">
        <v>47</v>
      </c>
      <c r="B669" s="7" t="s">
        <v>47</v>
      </c>
      <c r="C669" s="7" t="s">
        <v>47</v>
      </c>
    </row>
    <row r="670">
      <c r="A670" s="7" t="s">
        <v>47</v>
      </c>
      <c r="B670" s="7" t="s">
        <v>47</v>
      </c>
      <c r="C670" s="7" t="s">
        <v>47</v>
      </c>
    </row>
    <row r="671">
      <c r="A671" s="7" t="s">
        <v>47</v>
      </c>
      <c r="B671" s="7" t="s">
        <v>47</v>
      </c>
      <c r="C671" s="7" t="s">
        <v>47</v>
      </c>
    </row>
    <row r="672">
      <c r="A672" s="7" t="s">
        <v>47</v>
      </c>
      <c r="B672" s="7" t="s">
        <v>47</v>
      </c>
      <c r="C672" s="7" t="s">
        <v>47</v>
      </c>
    </row>
    <row r="673">
      <c r="A673" s="7" t="s">
        <v>47</v>
      </c>
      <c r="B673" s="7" t="s">
        <v>47</v>
      </c>
      <c r="C673" s="7" t="s">
        <v>47</v>
      </c>
    </row>
    <row r="674">
      <c r="A674" s="7" t="s">
        <v>47</v>
      </c>
      <c r="B674" s="7" t="s">
        <v>47</v>
      </c>
      <c r="C674" s="7" t="s">
        <v>47</v>
      </c>
    </row>
    <row r="675">
      <c r="A675" s="7" t="s">
        <v>47</v>
      </c>
      <c r="B675" s="7" t="s">
        <v>47</v>
      </c>
      <c r="C675" s="7" t="s">
        <v>47</v>
      </c>
    </row>
    <row r="676">
      <c r="A676" s="7" t="s">
        <v>47</v>
      </c>
      <c r="B676" s="7" t="s">
        <v>47</v>
      </c>
      <c r="C676" s="7" t="s">
        <v>47</v>
      </c>
    </row>
    <row r="677">
      <c r="A677" s="7" t="s">
        <v>47</v>
      </c>
      <c r="B677" s="7" t="s">
        <v>47</v>
      </c>
      <c r="C677" s="7" t="s">
        <v>47</v>
      </c>
    </row>
    <row r="678">
      <c r="A678" s="7" t="s">
        <v>47</v>
      </c>
      <c r="B678" s="7" t="s">
        <v>47</v>
      </c>
      <c r="C678" s="7" t="s">
        <v>47</v>
      </c>
    </row>
    <row r="679">
      <c r="A679" s="7" t="s">
        <v>47</v>
      </c>
      <c r="B679" s="7" t="s">
        <v>47</v>
      </c>
      <c r="C679" s="7" t="s">
        <v>47</v>
      </c>
    </row>
    <row r="680">
      <c r="A680" s="7" t="s">
        <v>47</v>
      </c>
      <c r="B680" s="7" t="s">
        <v>47</v>
      </c>
      <c r="C680" s="7" t="s">
        <v>47</v>
      </c>
    </row>
    <row r="681">
      <c r="A681" s="7" t="s">
        <v>47</v>
      </c>
      <c r="B681" s="7" t="s">
        <v>47</v>
      </c>
      <c r="C681" s="7" t="s">
        <v>47</v>
      </c>
    </row>
    <row r="682">
      <c r="A682" s="7" t="s">
        <v>47</v>
      </c>
      <c r="B682" s="7" t="s">
        <v>47</v>
      </c>
      <c r="C682" s="7" t="s">
        <v>47</v>
      </c>
    </row>
    <row r="683">
      <c r="A683" s="7" t="s">
        <v>47</v>
      </c>
      <c r="B683" s="7" t="s">
        <v>47</v>
      </c>
      <c r="C683" s="7" t="s">
        <v>47</v>
      </c>
    </row>
    <row r="684">
      <c r="A684" s="7" t="s">
        <v>47</v>
      </c>
      <c r="B684" s="7" t="s">
        <v>47</v>
      </c>
      <c r="C684" s="7" t="s">
        <v>47</v>
      </c>
    </row>
    <row r="685">
      <c r="A685" s="7" t="s">
        <v>47</v>
      </c>
      <c r="B685" s="7" t="s">
        <v>47</v>
      </c>
      <c r="C685" s="7" t="s">
        <v>47</v>
      </c>
    </row>
    <row r="686">
      <c r="A686" s="7" t="s">
        <v>47</v>
      </c>
      <c r="B686" s="7" t="s">
        <v>47</v>
      </c>
      <c r="C686" s="7" t="s">
        <v>47</v>
      </c>
    </row>
    <row r="687">
      <c r="A687" s="7" t="s">
        <v>47</v>
      </c>
      <c r="B687" s="7" t="s">
        <v>47</v>
      </c>
      <c r="C687" s="7" t="s">
        <v>47</v>
      </c>
    </row>
    <row r="688">
      <c r="A688" s="7" t="s">
        <v>47</v>
      </c>
      <c r="B688" s="7" t="s">
        <v>47</v>
      </c>
      <c r="C688" s="7" t="s">
        <v>47</v>
      </c>
    </row>
    <row r="689">
      <c r="A689" s="7" t="s">
        <v>47</v>
      </c>
      <c r="B689" s="7" t="s">
        <v>47</v>
      </c>
      <c r="C689" s="7" t="s">
        <v>47</v>
      </c>
    </row>
    <row r="690">
      <c r="A690" s="7" t="s">
        <v>47</v>
      </c>
      <c r="B690" s="7" t="s">
        <v>47</v>
      </c>
      <c r="C690" s="7" t="s">
        <v>47</v>
      </c>
    </row>
    <row r="691">
      <c r="A691" s="7" t="s">
        <v>47</v>
      </c>
      <c r="B691" s="7" t="s">
        <v>47</v>
      </c>
      <c r="C691" s="7" t="s">
        <v>47</v>
      </c>
    </row>
    <row r="692">
      <c r="A692" s="7" t="s">
        <v>47</v>
      </c>
      <c r="B692" s="7" t="s">
        <v>47</v>
      </c>
      <c r="C692" s="7" t="s">
        <v>47</v>
      </c>
    </row>
    <row r="693">
      <c r="A693" s="7" t="s">
        <v>47</v>
      </c>
      <c r="B693" s="7" t="s">
        <v>47</v>
      </c>
      <c r="C693" s="7" t="s">
        <v>47</v>
      </c>
    </row>
    <row r="694">
      <c r="A694" s="7" t="s">
        <v>47</v>
      </c>
      <c r="B694" s="7" t="s">
        <v>47</v>
      </c>
      <c r="C694" s="7" t="s">
        <v>47</v>
      </c>
    </row>
    <row r="695">
      <c r="A695" s="7" t="s">
        <v>47</v>
      </c>
      <c r="B695" s="7" t="s">
        <v>47</v>
      </c>
      <c r="C695" s="7" t="s">
        <v>47</v>
      </c>
    </row>
    <row r="696">
      <c r="A696" s="7" t="s">
        <v>47</v>
      </c>
      <c r="B696" s="7" t="s">
        <v>47</v>
      </c>
      <c r="C696" s="7" t="s">
        <v>47</v>
      </c>
    </row>
    <row r="697">
      <c r="A697" s="7" t="s">
        <v>47</v>
      </c>
      <c r="B697" s="7" t="s">
        <v>47</v>
      </c>
      <c r="C697" s="7" t="s">
        <v>47</v>
      </c>
    </row>
    <row r="698">
      <c r="A698" s="7" t="s">
        <v>47</v>
      </c>
      <c r="B698" s="7" t="s">
        <v>47</v>
      </c>
      <c r="C698" s="7" t="s">
        <v>47</v>
      </c>
    </row>
    <row r="699">
      <c r="A699" s="7" t="s">
        <v>47</v>
      </c>
      <c r="B699" s="7" t="s">
        <v>47</v>
      </c>
      <c r="C699" s="7" t="s">
        <v>47</v>
      </c>
    </row>
    <row r="700">
      <c r="A700" s="7" t="s">
        <v>47</v>
      </c>
      <c r="B700" s="7" t="s">
        <v>47</v>
      </c>
      <c r="C700" s="7" t="s">
        <v>47</v>
      </c>
    </row>
    <row r="701">
      <c r="A701" s="7" t="s">
        <v>47</v>
      </c>
      <c r="B701" s="7" t="s">
        <v>47</v>
      </c>
      <c r="C701" s="7" t="s">
        <v>47</v>
      </c>
    </row>
    <row r="702">
      <c r="A702" s="7" t="s">
        <v>47</v>
      </c>
      <c r="B702" s="7" t="s">
        <v>47</v>
      </c>
      <c r="C702" s="7" t="s">
        <v>47</v>
      </c>
    </row>
    <row r="703">
      <c r="A703" s="7" t="s">
        <v>47</v>
      </c>
      <c r="B703" s="7" t="s">
        <v>47</v>
      </c>
      <c r="C703" s="7" t="s">
        <v>47</v>
      </c>
    </row>
    <row r="704">
      <c r="A704" s="7" t="s">
        <v>47</v>
      </c>
      <c r="B704" s="7" t="s">
        <v>47</v>
      </c>
      <c r="C704" s="7" t="s">
        <v>47</v>
      </c>
    </row>
    <row r="705">
      <c r="A705" s="7" t="s">
        <v>47</v>
      </c>
      <c r="B705" s="7" t="s">
        <v>47</v>
      </c>
      <c r="C705" s="7" t="s">
        <v>47</v>
      </c>
    </row>
    <row r="706">
      <c r="A706" s="7" t="s">
        <v>47</v>
      </c>
      <c r="B706" s="7" t="s">
        <v>47</v>
      </c>
      <c r="C706" s="7" t="s">
        <v>47</v>
      </c>
    </row>
    <row r="707">
      <c r="A707" s="7" t="s">
        <v>47</v>
      </c>
      <c r="B707" s="7" t="s">
        <v>47</v>
      </c>
      <c r="C707" s="7" t="s">
        <v>47</v>
      </c>
    </row>
    <row r="708">
      <c r="A708" s="7" t="s">
        <v>47</v>
      </c>
      <c r="B708" s="7" t="s">
        <v>47</v>
      </c>
      <c r="C708" s="7" t="s">
        <v>47</v>
      </c>
    </row>
    <row r="709">
      <c r="A709" s="7" t="s">
        <v>47</v>
      </c>
      <c r="B709" s="7" t="s">
        <v>47</v>
      </c>
      <c r="C709" s="7" t="s">
        <v>47</v>
      </c>
    </row>
    <row r="710">
      <c r="A710" s="7" t="s">
        <v>47</v>
      </c>
      <c r="B710" s="7" t="s">
        <v>47</v>
      </c>
      <c r="C710" s="7" t="s">
        <v>47</v>
      </c>
    </row>
    <row r="711">
      <c r="A711" s="7" t="s">
        <v>47</v>
      </c>
      <c r="B711" s="7" t="s">
        <v>47</v>
      </c>
      <c r="C711" s="7" t="s">
        <v>47</v>
      </c>
    </row>
    <row r="712">
      <c r="A712" s="7" t="s">
        <v>47</v>
      </c>
      <c r="B712" s="7" t="s">
        <v>47</v>
      </c>
      <c r="C712" s="7" t="s">
        <v>47</v>
      </c>
    </row>
    <row r="713">
      <c r="A713" s="7" t="s">
        <v>47</v>
      </c>
      <c r="B713" s="7" t="s">
        <v>47</v>
      </c>
      <c r="C713" s="7" t="s">
        <v>47</v>
      </c>
    </row>
    <row r="714">
      <c r="A714" s="7" t="s">
        <v>47</v>
      </c>
      <c r="B714" s="7" t="s">
        <v>47</v>
      </c>
      <c r="C714" s="7" t="s">
        <v>47</v>
      </c>
    </row>
    <row r="715">
      <c r="A715" s="7" t="s">
        <v>47</v>
      </c>
      <c r="B715" s="7" t="s">
        <v>47</v>
      </c>
      <c r="C715" s="7" t="s">
        <v>47</v>
      </c>
    </row>
    <row r="716">
      <c r="A716" s="7" t="s">
        <v>47</v>
      </c>
      <c r="B716" s="7" t="s">
        <v>47</v>
      </c>
      <c r="C716" s="7" t="s">
        <v>47</v>
      </c>
    </row>
    <row r="717">
      <c r="A717" s="7" t="s">
        <v>47</v>
      </c>
      <c r="B717" s="7" t="s">
        <v>47</v>
      </c>
      <c r="C717" s="7" t="s">
        <v>47</v>
      </c>
    </row>
    <row r="718">
      <c r="A718" s="7" t="s">
        <v>47</v>
      </c>
      <c r="B718" s="7" t="s">
        <v>47</v>
      </c>
      <c r="C718" s="7" t="s">
        <v>47</v>
      </c>
    </row>
    <row r="719">
      <c r="A719" s="7" t="s">
        <v>47</v>
      </c>
      <c r="B719" s="7" t="s">
        <v>47</v>
      </c>
      <c r="C719" s="7" t="s">
        <v>47</v>
      </c>
    </row>
    <row r="720">
      <c r="A720" s="7" t="s">
        <v>47</v>
      </c>
      <c r="B720" s="7" t="s">
        <v>47</v>
      </c>
      <c r="C720" s="7" t="s">
        <v>47</v>
      </c>
    </row>
    <row r="721">
      <c r="A721" s="7" t="s">
        <v>47</v>
      </c>
      <c r="B721" s="7" t="s">
        <v>47</v>
      </c>
      <c r="C721" s="7" t="s">
        <v>47</v>
      </c>
    </row>
    <row r="722">
      <c r="A722" s="7" t="s">
        <v>47</v>
      </c>
      <c r="B722" s="7" t="s">
        <v>47</v>
      </c>
      <c r="C722" s="7" t="s">
        <v>47</v>
      </c>
    </row>
    <row r="723">
      <c r="A723" s="7" t="s">
        <v>47</v>
      </c>
      <c r="B723" s="7" t="s">
        <v>47</v>
      </c>
      <c r="C723" s="7" t="s">
        <v>47</v>
      </c>
    </row>
    <row r="724">
      <c r="A724" s="7" t="s">
        <v>47</v>
      </c>
      <c r="B724" s="7" t="s">
        <v>47</v>
      </c>
      <c r="C724" s="7" t="s">
        <v>47</v>
      </c>
    </row>
    <row r="725">
      <c r="A725" s="7" t="s">
        <v>47</v>
      </c>
      <c r="B725" s="7" t="s">
        <v>47</v>
      </c>
      <c r="C725" s="7" t="s">
        <v>47</v>
      </c>
    </row>
    <row r="726">
      <c r="A726" s="7" t="s">
        <v>47</v>
      </c>
      <c r="B726" s="7" t="s">
        <v>47</v>
      </c>
      <c r="C726" s="7" t="s">
        <v>47</v>
      </c>
    </row>
    <row r="727">
      <c r="A727" s="7" t="s">
        <v>47</v>
      </c>
      <c r="B727" s="7" t="s">
        <v>47</v>
      </c>
      <c r="C727" s="7" t="s">
        <v>47</v>
      </c>
    </row>
    <row r="728">
      <c r="A728" s="7" t="s">
        <v>47</v>
      </c>
      <c r="B728" s="7" t="s">
        <v>47</v>
      </c>
      <c r="C728" s="7" t="s">
        <v>47</v>
      </c>
    </row>
    <row r="729">
      <c r="A729" s="7" t="s">
        <v>47</v>
      </c>
      <c r="B729" s="7" t="s">
        <v>47</v>
      </c>
      <c r="C729" s="7" t="s">
        <v>47</v>
      </c>
    </row>
    <row r="730">
      <c r="A730" s="7" t="s">
        <v>47</v>
      </c>
      <c r="B730" s="7" t="s">
        <v>47</v>
      </c>
      <c r="C730" s="7" t="s">
        <v>47</v>
      </c>
    </row>
    <row r="731">
      <c r="A731" s="7" t="s">
        <v>47</v>
      </c>
      <c r="B731" s="7" t="s">
        <v>47</v>
      </c>
      <c r="C731" s="7" t="s">
        <v>47</v>
      </c>
    </row>
    <row r="732">
      <c r="A732" s="7" t="s">
        <v>47</v>
      </c>
      <c r="B732" s="7" t="s">
        <v>47</v>
      </c>
      <c r="C732" s="7" t="s">
        <v>47</v>
      </c>
    </row>
    <row r="733">
      <c r="A733" s="7" t="s">
        <v>47</v>
      </c>
      <c r="B733" s="7" t="s">
        <v>47</v>
      </c>
      <c r="C733" s="7" t="s">
        <v>47</v>
      </c>
    </row>
    <row r="734">
      <c r="A734" s="7" t="s">
        <v>47</v>
      </c>
      <c r="B734" s="7" t="s">
        <v>47</v>
      </c>
      <c r="C734" s="7" t="s">
        <v>47</v>
      </c>
    </row>
    <row r="735">
      <c r="A735" s="7" t="s">
        <v>47</v>
      </c>
      <c r="B735" s="7" t="s">
        <v>47</v>
      </c>
      <c r="C735" s="7" t="s">
        <v>47</v>
      </c>
    </row>
    <row r="736">
      <c r="A736" s="7" t="s">
        <v>47</v>
      </c>
      <c r="B736" s="7" t="s">
        <v>47</v>
      </c>
      <c r="C736" s="7" t="s">
        <v>47</v>
      </c>
    </row>
    <row r="737">
      <c r="A737" s="7" t="s">
        <v>47</v>
      </c>
      <c r="B737" s="7" t="s">
        <v>47</v>
      </c>
      <c r="C737" s="7" t="s">
        <v>47</v>
      </c>
    </row>
    <row r="738">
      <c r="A738" s="7" t="s">
        <v>47</v>
      </c>
      <c r="B738" s="7" t="s">
        <v>47</v>
      </c>
      <c r="C738" s="7" t="s">
        <v>47</v>
      </c>
    </row>
    <row r="739">
      <c r="A739" s="7" t="s">
        <v>47</v>
      </c>
      <c r="B739" s="7" t="s">
        <v>47</v>
      </c>
      <c r="C739" s="7" t="s">
        <v>47</v>
      </c>
    </row>
    <row r="740">
      <c r="A740" s="7" t="s">
        <v>47</v>
      </c>
      <c r="B740" s="7" t="s">
        <v>47</v>
      </c>
      <c r="C740" s="7" t="s">
        <v>47</v>
      </c>
    </row>
    <row r="741">
      <c r="A741" s="7" t="s">
        <v>47</v>
      </c>
      <c r="B741" s="7" t="s">
        <v>47</v>
      </c>
      <c r="C741" s="7" t="s">
        <v>47</v>
      </c>
    </row>
    <row r="742">
      <c r="A742" s="7" t="s">
        <v>47</v>
      </c>
      <c r="B742" s="7" t="s">
        <v>47</v>
      </c>
      <c r="C742" s="7" t="s">
        <v>47</v>
      </c>
    </row>
    <row r="743">
      <c r="A743" s="7" t="s">
        <v>47</v>
      </c>
      <c r="B743" s="7" t="s">
        <v>47</v>
      </c>
      <c r="C743" s="7" t="s">
        <v>47</v>
      </c>
    </row>
    <row r="744">
      <c r="A744" s="7" t="s">
        <v>47</v>
      </c>
      <c r="B744" s="7" t="s">
        <v>47</v>
      </c>
      <c r="C744" s="7" t="s">
        <v>47</v>
      </c>
    </row>
    <row r="745">
      <c r="A745" s="7" t="s">
        <v>47</v>
      </c>
      <c r="B745" s="7" t="s">
        <v>47</v>
      </c>
      <c r="C745" s="7" t="s">
        <v>47</v>
      </c>
    </row>
    <row r="746">
      <c r="A746" s="7" t="s">
        <v>47</v>
      </c>
      <c r="B746" s="7" t="s">
        <v>47</v>
      </c>
      <c r="C746" s="7" t="s">
        <v>47</v>
      </c>
    </row>
    <row r="747">
      <c r="A747" s="7" t="s">
        <v>47</v>
      </c>
      <c r="B747" s="7" t="s">
        <v>47</v>
      </c>
      <c r="C747" s="7" t="s">
        <v>47</v>
      </c>
    </row>
    <row r="748">
      <c r="A748" s="7" t="s">
        <v>47</v>
      </c>
      <c r="B748" s="7" t="s">
        <v>47</v>
      </c>
      <c r="C748" s="7" t="s">
        <v>47</v>
      </c>
    </row>
    <row r="749">
      <c r="A749" s="7" t="s">
        <v>47</v>
      </c>
      <c r="B749" s="7" t="s">
        <v>47</v>
      </c>
      <c r="C749" s="7" t="s">
        <v>47</v>
      </c>
    </row>
    <row r="750">
      <c r="A750" s="7" t="s">
        <v>47</v>
      </c>
      <c r="B750" s="7" t="s">
        <v>47</v>
      </c>
      <c r="C750" s="7" t="s">
        <v>47</v>
      </c>
    </row>
    <row r="751">
      <c r="A751" s="7" t="s">
        <v>47</v>
      </c>
      <c r="B751" s="7" t="s">
        <v>47</v>
      </c>
      <c r="C751" s="7" t="s">
        <v>47</v>
      </c>
    </row>
    <row r="752">
      <c r="A752" s="7" t="s">
        <v>47</v>
      </c>
      <c r="B752" s="7" t="s">
        <v>47</v>
      </c>
      <c r="C752" s="7" t="s">
        <v>47</v>
      </c>
    </row>
    <row r="753">
      <c r="A753" s="7" t="s">
        <v>47</v>
      </c>
      <c r="B753" s="7" t="s">
        <v>47</v>
      </c>
      <c r="C753" s="7" t="s">
        <v>47</v>
      </c>
    </row>
    <row r="754">
      <c r="A754" s="7" t="s">
        <v>47</v>
      </c>
      <c r="B754" s="7" t="s">
        <v>47</v>
      </c>
      <c r="C754" s="7" t="s">
        <v>47</v>
      </c>
    </row>
    <row r="755">
      <c r="A755" s="7" t="s">
        <v>47</v>
      </c>
      <c r="B755" s="7" t="s">
        <v>47</v>
      </c>
      <c r="C755" s="7" t="s">
        <v>47</v>
      </c>
    </row>
    <row r="756">
      <c r="A756" s="7" t="s">
        <v>47</v>
      </c>
      <c r="B756" s="7" t="s">
        <v>47</v>
      </c>
      <c r="C756" s="7" t="s">
        <v>47</v>
      </c>
    </row>
    <row r="757">
      <c r="A757" s="7" t="s">
        <v>47</v>
      </c>
      <c r="B757" s="7" t="s">
        <v>47</v>
      </c>
      <c r="C757" s="7" t="s">
        <v>47</v>
      </c>
    </row>
    <row r="758">
      <c r="A758" s="7" t="s">
        <v>47</v>
      </c>
      <c r="B758" s="7" t="s">
        <v>47</v>
      </c>
      <c r="C758" s="7" t="s">
        <v>47</v>
      </c>
    </row>
    <row r="759">
      <c r="A759" s="7" t="s">
        <v>47</v>
      </c>
      <c r="B759" s="7" t="s">
        <v>47</v>
      </c>
      <c r="C759" s="7" t="s">
        <v>47</v>
      </c>
    </row>
    <row r="760">
      <c r="A760" s="7" t="s">
        <v>47</v>
      </c>
      <c r="B760" s="7" t="s">
        <v>47</v>
      </c>
      <c r="C760" s="7" t="s">
        <v>47</v>
      </c>
    </row>
    <row r="761">
      <c r="A761" s="7" t="s">
        <v>47</v>
      </c>
      <c r="B761" s="7" t="s">
        <v>47</v>
      </c>
      <c r="C761" s="7" t="s">
        <v>47</v>
      </c>
    </row>
    <row r="762">
      <c r="A762" s="7" t="s">
        <v>47</v>
      </c>
      <c r="B762" s="7" t="s">
        <v>47</v>
      </c>
      <c r="C762" s="7" t="s">
        <v>47</v>
      </c>
    </row>
    <row r="763">
      <c r="A763" s="7" t="s">
        <v>47</v>
      </c>
      <c r="B763" s="7" t="s">
        <v>47</v>
      </c>
      <c r="C763" s="7" t="s">
        <v>47</v>
      </c>
    </row>
    <row r="764">
      <c r="A764" s="7" t="s">
        <v>47</v>
      </c>
      <c r="B764" s="7" t="s">
        <v>47</v>
      </c>
      <c r="C764" s="7" t="s">
        <v>47</v>
      </c>
    </row>
    <row r="765">
      <c r="A765" s="7" t="s">
        <v>47</v>
      </c>
      <c r="B765" s="7" t="s">
        <v>47</v>
      </c>
      <c r="C765" s="7" t="s">
        <v>47</v>
      </c>
    </row>
    <row r="766">
      <c r="A766" s="7" t="s">
        <v>47</v>
      </c>
      <c r="B766" s="7" t="s">
        <v>47</v>
      </c>
      <c r="C766" s="7" t="s">
        <v>47</v>
      </c>
    </row>
    <row r="767">
      <c r="A767" s="7" t="s">
        <v>47</v>
      </c>
      <c r="B767" s="7" t="s">
        <v>47</v>
      </c>
      <c r="C767" s="7" t="s">
        <v>47</v>
      </c>
    </row>
    <row r="768">
      <c r="A768" s="7" t="s">
        <v>47</v>
      </c>
      <c r="B768" s="7" t="s">
        <v>47</v>
      </c>
      <c r="C768" s="7" t="s">
        <v>47</v>
      </c>
    </row>
    <row r="769">
      <c r="A769" s="7" t="s">
        <v>47</v>
      </c>
      <c r="B769" s="7" t="s">
        <v>47</v>
      </c>
      <c r="C769" s="7" t="s">
        <v>47</v>
      </c>
    </row>
    <row r="770">
      <c r="A770" s="7" t="s">
        <v>47</v>
      </c>
      <c r="B770" s="7" t="s">
        <v>47</v>
      </c>
      <c r="C770" s="7" t="s">
        <v>47</v>
      </c>
    </row>
    <row r="771">
      <c r="A771" s="7" t="s">
        <v>47</v>
      </c>
      <c r="B771" s="7" t="s">
        <v>47</v>
      </c>
      <c r="C771" s="7" t="s">
        <v>47</v>
      </c>
    </row>
    <row r="772">
      <c r="A772" s="7" t="s">
        <v>47</v>
      </c>
      <c r="B772" s="7" t="s">
        <v>47</v>
      </c>
      <c r="C772" s="7" t="s">
        <v>47</v>
      </c>
    </row>
    <row r="773">
      <c r="A773" s="7" t="s">
        <v>47</v>
      </c>
      <c r="B773" s="7" t="s">
        <v>47</v>
      </c>
      <c r="C773" s="7" t="s">
        <v>47</v>
      </c>
    </row>
    <row r="774">
      <c r="A774" s="7" t="s">
        <v>47</v>
      </c>
      <c r="B774" s="7" t="s">
        <v>47</v>
      </c>
      <c r="C774" s="7" t="s">
        <v>47</v>
      </c>
    </row>
    <row r="775">
      <c r="A775" s="7" t="s">
        <v>47</v>
      </c>
      <c r="B775" s="7" t="s">
        <v>47</v>
      </c>
      <c r="C775" s="7" t="s">
        <v>47</v>
      </c>
    </row>
    <row r="776">
      <c r="A776" s="7" t="s">
        <v>47</v>
      </c>
      <c r="B776" s="7" t="s">
        <v>47</v>
      </c>
      <c r="C776" s="7" t="s">
        <v>47</v>
      </c>
    </row>
    <row r="777">
      <c r="A777" s="7" t="s">
        <v>47</v>
      </c>
      <c r="B777" s="7" t="s">
        <v>47</v>
      </c>
      <c r="C777" s="7" t="s">
        <v>47</v>
      </c>
    </row>
    <row r="778">
      <c r="A778" s="7" t="s">
        <v>47</v>
      </c>
      <c r="B778" s="7" t="s">
        <v>47</v>
      </c>
      <c r="C778" s="7" t="s">
        <v>47</v>
      </c>
    </row>
    <row r="779">
      <c r="A779" s="7" t="s">
        <v>47</v>
      </c>
      <c r="B779" s="7" t="s">
        <v>47</v>
      </c>
      <c r="C779" s="7" t="s">
        <v>47</v>
      </c>
    </row>
    <row r="780">
      <c r="A780" s="7" t="s">
        <v>47</v>
      </c>
      <c r="B780" s="7" t="s">
        <v>47</v>
      </c>
      <c r="C780" s="7" t="s">
        <v>47</v>
      </c>
    </row>
    <row r="781">
      <c r="A781" s="7" t="s">
        <v>47</v>
      </c>
      <c r="B781" s="7" t="s">
        <v>47</v>
      </c>
      <c r="C781" s="7" t="s">
        <v>47</v>
      </c>
    </row>
    <row r="782">
      <c r="A782" s="7" t="s">
        <v>47</v>
      </c>
      <c r="B782" s="7" t="s">
        <v>47</v>
      </c>
      <c r="C782" s="7" t="s">
        <v>47</v>
      </c>
    </row>
    <row r="783">
      <c r="A783" s="7" t="s">
        <v>47</v>
      </c>
      <c r="B783" s="7" t="s">
        <v>47</v>
      </c>
      <c r="C783" s="7" t="s">
        <v>47</v>
      </c>
    </row>
    <row r="784">
      <c r="A784" s="7" t="s">
        <v>47</v>
      </c>
      <c r="B784" s="7" t="s">
        <v>47</v>
      </c>
      <c r="C784" s="7" t="s">
        <v>47</v>
      </c>
    </row>
    <row r="785">
      <c r="A785" s="7" t="s">
        <v>47</v>
      </c>
      <c r="B785" s="7" t="s">
        <v>47</v>
      </c>
      <c r="C785" s="7" t="s">
        <v>47</v>
      </c>
    </row>
    <row r="786">
      <c r="A786" s="7" t="s">
        <v>47</v>
      </c>
      <c r="B786" s="7" t="s">
        <v>47</v>
      </c>
      <c r="C786" s="7" t="s">
        <v>47</v>
      </c>
    </row>
    <row r="787">
      <c r="A787" s="7" t="s">
        <v>47</v>
      </c>
      <c r="B787" s="7" t="s">
        <v>47</v>
      </c>
      <c r="C787" s="7" t="s">
        <v>47</v>
      </c>
    </row>
    <row r="788">
      <c r="A788" s="7" t="s">
        <v>47</v>
      </c>
      <c r="B788" s="7" t="s">
        <v>47</v>
      </c>
      <c r="C788" s="7" t="s">
        <v>47</v>
      </c>
    </row>
    <row r="789">
      <c r="A789" s="7" t="s">
        <v>47</v>
      </c>
      <c r="B789" s="7" t="s">
        <v>47</v>
      </c>
      <c r="C789" s="7" t="s">
        <v>47</v>
      </c>
    </row>
    <row r="790">
      <c r="A790" s="7" t="s">
        <v>47</v>
      </c>
      <c r="B790" s="7" t="s">
        <v>47</v>
      </c>
      <c r="C790" s="7" t="s">
        <v>47</v>
      </c>
    </row>
    <row r="791">
      <c r="A791" s="7" t="s">
        <v>47</v>
      </c>
      <c r="B791" s="7" t="s">
        <v>47</v>
      </c>
      <c r="C791" s="7" t="s">
        <v>47</v>
      </c>
    </row>
    <row r="792">
      <c r="A792" s="7" t="s">
        <v>47</v>
      </c>
      <c r="B792" s="7" t="s">
        <v>47</v>
      </c>
      <c r="C792" s="7" t="s">
        <v>47</v>
      </c>
    </row>
    <row r="793">
      <c r="A793" s="7" t="s">
        <v>47</v>
      </c>
      <c r="B793" s="7" t="s">
        <v>47</v>
      </c>
      <c r="C793" s="7" t="s">
        <v>47</v>
      </c>
    </row>
    <row r="794">
      <c r="A794" s="7" t="s">
        <v>47</v>
      </c>
      <c r="B794" s="7" t="s">
        <v>47</v>
      </c>
      <c r="C794" s="7" t="s">
        <v>47</v>
      </c>
    </row>
    <row r="795">
      <c r="A795" s="7" t="s">
        <v>47</v>
      </c>
      <c r="B795" s="7" t="s">
        <v>47</v>
      </c>
      <c r="C795" s="7" t="s">
        <v>47</v>
      </c>
    </row>
    <row r="796">
      <c r="A796" s="7" t="s">
        <v>47</v>
      </c>
      <c r="B796" s="7" t="s">
        <v>47</v>
      </c>
      <c r="C796" s="7" t="s">
        <v>47</v>
      </c>
    </row>
    <row r="797">
      <c r="A797" s="7" t="s">
        <v>47</v>
      </c>
      <c r="B797" s="7" t="s">
        <v>47</v>
      </c>
      <c r="C797" s="7" t="s">
        <v>47</v>
      </c>
    </row>
    <row r="798">
      <c r="A798" s="7" t="s">
        <v>47</v>
      </c>
      <c r="B798" s="7" t="s">
        <v>47</v>
      </c>
      <c r="C798" s="7" t="s">
        <v>47</v>
      </c>
    </row>
    <row r="799">
      <c r="A799" s="7" t="s">
        <v>47</v>
      </c>
      <c r="B799" s="7" t="s">
        <v>47</v>
      </c>
      <c r="C799" s="7" t="s">
        <v>47</v>
      </c>
    </row>
    <row r="800">
      <c r="A800" s="7" t="s">
        <v>47</v>
      </c>
      <c r="B800" s="7" t="s">
        <v>47</v>
      </c>
      <c r="C800" s="7" t="s">
        <v>47</v>
      </c>
    </row>
    <row r="801">
      <c r="A801" s="7" t="s">
        <v>47</v>
      </c>
      <c r="B801" s="7" t="s">
        <v>47</v>
      </c>
      <c r="C801" s="7" t="s">
        <v>47</v>
      </c>
    </row>
    <row r="802">
      <c r="A802" s="7" t="s">
        <v>47</v>
      </c>
      <c r="B802" s="7" t="s">
        <v>47</v>
      </c>
      <c r="C802" s="7" t="s">
        <v>47</v>
      </c>
    </row>
    <row r="803">
      <c r="A803" s="7" t="s">
        <v>47</v>
      </c>
      <c r="B803" s="7" t="s">
        <v>47</v>
      </c>
      <c r="C803" s="7" t="s">
        <v>47</v>
      </c>
    </row>
    <row r="804">
      <c r="A804" s="7" t="s">
        <v>47</v>
      </c>
      <c r="B804" s="7" t="s">
        <v>47</v>
      </c>
      <c r="C804" s="7" t="s">
        <v>47</v>
      </c>
    </row>
    <row r="805">
      <c r="A805" s="7" t="s">
        <v>47</v>
      </c>
      <c r="B805" s="7" t="s">
        <v>47</v>
      </c>
      <c r="C805" s="7" t="s">
        <v>47</v>
      </c>
    </row>
    <row r="806">
      <c r="A806" s="7" t="s">
        <v>47</v>
      </c>
      <c r="B806" s="7" t="s">
        <v>47</v>
      </c>
      <c r="C806" s="7" t="s">
        <v>47</v>
      </c>
    </row>
    <row r="807">
      <c r="A807" s="7" t="s">
        <v>47</v>
      </c>
      <c r="B807" s="7" t="s">
        <v>47</v>
      </c>
      <c r="C807" s="7" t="s">
        <v>47</v>
      </c>
    </row>
    <row r="808">
      <c r="A808" s="7" t="s">
        <v>47</v>
      </c>
      <c r="B808" s="7" t="s">
        <v>47</v>
      </c>
      <c r="C808" s="7" t="s">
        <v>47</v>
      </c>
    </row>
    <row r="809">
      <c r="A809" s="7" t="s">
        <v>47</v>
      </c>
      <c r="B809" s="7" t="s">
        <v>47</v>
      </c>
      <c r="C809" s="7" t="s">
        <v>47</v>
      </c>
    </row>
    <row r="810">
      <c r="A810" s="7" t="s">
        <v>47</v>
      </c>
      <c r="B810" s="7" t="s">
        <v>47</v>
      </c>
      <c r="C810" s="7" t="s">
        <v>47</v>
      </c>
    </row>
    <row r="811">
      <c r="A811" s="7" t="s">
        <v>47</v>
      </c>
      <c r="B811" s="7" t="s">
        <v>47</v>
      </c>
      <c r="C811" s="7" t="s">
        <v>47</v>
      </c>
    </row>
    <row r="812">
      <c r="A812" s="7" t="s">
        <v>47</v>
      </c>
      <c r="B812" s="7" t="s">
        <v>47</v>
      </c>
      <c r="C812" s="7" t="s">
        <v>47</v>
      </c>
    </row>
    <row r="813">
      <c r="A813" s="7" t="s">
        <v>47</v>
      </c>
      <c r="B813" s="7" t="s">
        <v>47</v>
      </c>
      <c r="C813" s="7" t="s">
        <v>47</v>
      </c>
    </row>
    <row r="814">
      <c r="A814" s="7" t="s">
        <v>47</v>
      </c>
      <c r="B814" s="7" t="s">
        <v>47</v>
      </c>
      <c r="C814" s="7" t="s">
        <v>47</v>
      </c>
    </row>
    <row r="815">
      <c r="A815" s="7" t="s">
        <v>47</v>
      </c>
      <c r="B815" s="7" t="s">
        <v>47</v>
      </c>
      <c r="C815" s="7" t="s">
        <v>47</v>
      </c>
    </row>
    <row r="816">
      <c r="A816" s="7" t="s">
        <v>47</v>
      </c>
      <c r="B816" s="7" t="s">
        <v>47</v>
      </c>
      <c r="C816" s="7" t="s">
        <v>47</v>
      </c>
    </row>
    <row r="817">
      <c r="A817" s="7" t="s">
        <v>47</v>
      </c>
      <c r="B817" s="7" t="s">
        <v>47</v>
      </c>
      <c r="C817" s="7" t="s">
        <v>47</v>
      </c>
    </row>
    <row r="818">
      <c r="A818" s="7" t="s">
        <v>47</v>
      </c>
      <c r="B818" s="7" t="s">
        <v>47</v>
      </c>
      <c r="C818" s="7" t="s">
        <v>47</v>
      </c>
    </row>
    <row r="819">
      <c r="A819" s="7" t="s">
        <v>47</v>
      </c>
      <c r="B819" s="7" t="s">
        <v>47</v>
      </c>
      <c r="C819" s="7" t="s">
        <v>47</v>
      </c>
    </row>
    <row r="820">
      <c r="A820" s="7" t="s">
        <v>47</v>
      </c>
      <c r="B820" s="7" t="s">
        <v>47</v>
      </c>
      <c r="C820" s="7" t="s">
        <v>47</v>
      </c>
    </row>
    <row r="821">
      <c r="A821" s="7" t="s">
        <v>47</v>
      </c>
      <c r="B821" s="7" t="s">
        <v>47</v>
      </c>
      <c r="C821" s="7" t="s">
        <v>47</v>
      </c>
    </row>
    <row r="822">
      <c r="A822" s="7" t="s">
        <v>47</v>
      </c>
      <c r="B822" s="7" t="s">
        <v>47</v>
      </c>
      <c r="C822" s="7" t="s">
        <v>47</v>
      </c>
    </row>
    <row r="823">
      <c r="A823" s="7" t="s">
        <v>47</v>
      </c>
      <c r="B823" s="7" t="s">
        <v>47</v>
      </c>
      <c r="C823" s="7" t="s">
        <v>47</v>
      </c>
    </row>
    <row r="824">
      <c r="A824" s="7" t="s">
        <v>47</v>
      </c>
      <c r="B824" s="7" t="s">
        <v>47</v>
      </c>
      <c r="C824" s="7" t="s">
        <v>47</v>
      </c>
    </row>
    <row r="825">
      <c r="A825" s="7" t="s">
        <v>47</v>
      </c>
      <c r="B825" s="7" t="s">
        <v>47</v>
      </c>
      <c r="C825" s="7" t="s">
        <v>47</v>
      </c>
    </row>
    <row r="826">
      <c r="A826" s="7" t="s">
        <v>47</v>
      </c>
      <c r="B826" s="7" t="s">
        <v>47</v>
      </c>
      <c r="C826" s="7" t="s">
        <v>47</v>
      </c>
    </row>
    <row r="827">
      <c r="A827" s="7" t="s">
        <v>47</v>
      </c>
      <c r="B827" s="7" t="s">
        <v>47</v>
      </c>
      <c r="C827" s="7" t="s">
        <v>47</v>
      </c>
    </row>
    <row r="828">
      <c r="A828" s="7" t="s">
        <v>47</v>
      </c>
      <c r="B828" s="7" t="s">
        <v>47</v>
      </c>
      <c r="C828" s="7" t="s">
        <v>47</v>
      </c>
    </row>
    <row r="829">
      <c r="A829" s="7" t="s">
        <v>47</v>
      </c>
      <c r="B829" s="7" t="s">
        <v>47</v>
      </c>
      <c r="C829" s="7" t="s">
        <v>47</v>
      </c>
    </row>
    <row r="830">
      <c r="A830" s="7" t="s">
        <v>47</v>
      </c>
      <c r="B830" s="7" t="s">
        <v>47</v>
      </c>
      <c r="C830" s="7" t="s">
        <v>47</v>
      </c>
    </row>
    <row r="831">
      <c r="A831" s="7" t="s">
        <v>47</v>
      </c>
      <c r="B831" s="7" t="s">
        <v>47</v>
      </c>
      <c r="C831" s="7" t="s">
        <v>47</v>
      </c>
    </row>
    <row r="832">
      <c r="A832" s="7" t="s">
        <v>47</v>
      </c>
      <c r="B832" s="7" t="s">
        <v>47</v>
      </c>
      <c r="C832" s="7" t="s">
        <v>47</v>
      </c>
    </row>
    <row r="833">
      <c r="A833" s="7" t="s">
        <v>47</v>
      </c>
      <c r="B833" s="7" t="s">
        <v>47</v>
      </c>
      <c r="C833" s="7" t="s">
        <v>47</v>
      </c>
    </row>
    <row r="834">
      <c r="A834" s="7" t="s">
        <v>47</v>
      </c>
      <c r="B834" s="7" t="s">
        <v>47</v>
      </c>
      <c r="C834" s="7" t="s">
        <v>47</v>
      </c>
    </row>
    <row r="835">
      <c r="A835" s="7" t="s">
        <v>47</v>
      </c>
      <c r="B835" s="7" t="s">
        <v>47</v>
      </c>
      <c r="C835" s="7" t="s">
        <v>47</v>
      </c>
    </row>
    <row r="836">
      <c r="A836" s="7" t="s">
        <v>47</v>
      </c>
      <c r="B836" s="7" t="s">
        <v>47</v>
      </c>
      <c r="C836" s="7" t="s">
        <v>47</v>
      </c>
    </row>
    <row r="837">
      <c r="A837" s="7" t="s">
        <v>47</v>
      </c>
      <c r="B837" s="7" t="s">
        <v>47</v>
      </c>
      <c r="C837" s="7" t="s">
        <v>47</v>
      </c>
    </row>
    <row r="838">
      <c r="A838" s="7" t="s">
        <v>47</v>
      </c>
      <c r="B838" s="7" t="s">
        <v>47</v>
      </c>
      <c r="C838" s="7" t="s">
        <v>47</v>
      </c>
    </row>
    <row r="839">
      <c r="A839" s="7" t="s">
        <v>47</v>
      </c>
      <c r="B839" s="7" t="s">
        <v>47</v>
      </c>
      <c r="C839" s="7" t="s">
        <v>47</v>
      </c>
    </row>
    <row r="840">
      <c r="A840" s="7" t="s">
        <v>47</v>
      </c>
      <c r="B840" s="7" t="s">
        <v>47</v>
      </c>
      <c r="C840" s="7" t="s">
        <v>47</v>
      </c>
    </row>
    <row r="841">
      <c r="A841" s="7" t="s">
        <v>47</v>
      </c>
      <c r="B841" s="7" t="s">
        <v>47</v>
      </c>
      <c r="C841" s="7" t="s">
        <v>47</v>
      </c>
    </row>
    <row r="842">
      <c r="A842" s="7" t="s">
        <v>47</v>
      </c>
      <c r="B842" s="7" t="s">
        <v>47</v>
      </c>
      <c r="C842" s="7" t="s">
        <v>47</v>
      </c>
    </row>
    <row r="843">
      <c r="A843" s="7" t="s">
        <v>47</v>
      </c>
      <c r="B843" s="7" t="s">
        <v>47</v>
      </c>
      <c r="C843" s="7" t="s">
        <v>47</v>
      </c>
    </row>
    <row r="844">
      <c r="A844" s="7" t="s">
        <v>47</v>
      </c>
      <c r="B844" s="7" t="s">
        <v>47</v>
      </c>
      <c r="C844" s="7" t="s">
        <v>47</v>
      </c>
    </row>
    <row r="845">
      <c r="A845" s="7" t="s">
        <v>47</v>
      </c>
      <c r="B845" s="7" t="s">
        <v>47</v>
      </c>
      <c r="C845" s="7" t="s">
        <v>47</v>
      </c>
    </row>
    <row r="846">
      <c r="A846" s="7" t="s">
        <v>47</v>
      </c>
      <c r="B846" s="7" t="s">
        <v>47</v>
      </c>
      <c r="C846" s="7" t="s">
        <v>47</v>
      </c>
    </row>
    <row r="847">
      <c r="A847" s="7" t="s">
        <v>47</v>
      </c>
      <c r="B847" s="7" t="s">
        <v>47</v>
      </c>
      <c r="C847" s="7" t="s">
        <v>47</v>
      </c>
    </row>
    <row r="848">
      <c r="A848" s="7" t="s">
        <v>47</v>
      </c>
      <c r="B848" s="7" t="s">
        <v>47</v>
      </c>
      <c r="C848" s="7" t="s">
        <v>47</v>
      </c>
    </row>
    <row r="849">
      <c r="A849" s="7" t="s">
        <v>47</v>
      </c>
      <c r="B849" s="7" t="s">
        <v>47</v>
      </c>
      <c r="C849" s="7" t="s">
        <v>47</v>
      </c>
    </row>
    <row r="850">
      <c r="A850" s="7" t="s">
        <v>47</v>
      </c>
      <c r="B850" s="7" t="s">
        <v>47</v>
      </c>
      <c r="C850" s="7" t="s">
        <v>47</v>
      </c>
    </row>
    <row r="851">
      <c r="A851" s="7" t="s">
        <v>47</v>
      </c>
      <c r="B851" s="7" t="s">
        <v>47</v>
      </c>
      <c r="C851" s="7" t="s">
        <v>47</v>
      </c>
    </row>
    <row r="852">
      <c r="A852" s="7" t="s">
        <v>47</v>
      </c>
      <c r="B852" s="7" t="s">
        <v>47</v>
      </c>
      <c r="C852" s="7" t="s">
        <v>47</v>
      </c>
    </row>
    <row r="853">
      <c r="A853" s="7" t="s">
        <v>47</v>
      </c>
      <c r="B853" s="7" t="s">
        <v>47</v>
      </c>
      <c r="C853" s="7" t="s">
        <v>47</v>
      </c>
    </row>
    <row r="854">
      <c r="A854" s="7" t="s">
        <v>47</v>
      </c>
      <c r="B854" s="7" t="s">
        <v>47</v>
      </c>
      <c r="C854" s="7" t="s">
        <v>47</v>
      </c>
    </row>
    <row r="855">
      <c r="A855" s="7" t="s">
        <v>47</v>
      </c>
      <c r="B855" s="7" t="s">
        <v>47</v>
      </c>
      <c r="C855" s="7" t="s">
        <v>47</v>
      </c>
    </row>
    <row r="856">
      <c r="A856" s="7" t="s">
        <v>47</v>
      </c>
      <c r="B856" s="7" t="s">
        <v>47</v>
      </c>
      <c r="C856" s="7" t="s">
        <v>47</v>
      </c>
    </row>
    <row r="857">
      <c r="A857" s="7" t="s">
        <v>47</v>
      </c>
      <c r="B857" s="7" t="s">
        <v>47</v>
      </c>
      <c r="C857" s="7" t="s">
        <v>47</v>
      </c>
    </row>
    <row r="858">
      <c r="A858" s="7" t="s">
        <v>47</v>
      </c>
      <c r="B858" s="7" t="s">
        <v>47</v>
      </c>
      <c r="C858" s="7" t="s">
        <v>47</v>
      </c>
    </row>
    <row r="859">
      <c r="A859" s="7" t="s">
        <v>47</v>
      </c>
      <c r="B859" s="7" t="s">
        <v>47</v>
      </c>
      <c r="C859" s="7" t="s">
        <v>47</v>
      </c>
    </row>
    <row r="860">
      <c r="A860" s="7" t="s">
        <v>47</v>
      </c>
      <c r="B860" s="7" t="s">
        <v>47</v>
      </c>
      <c r="C860" s="7" t="s">
        <v>47</v>
      </c>
    </row>
    <row r="861">
      <c r="A861" s="7" t="s">
        <v>47</v>
      </c>
      <c r="B861" s="7" t="s">
        <v>47</v>
      </c>
      <c r="C861" s="7" t="s">
        <v>47</v>
      </c>
    </row>
    <row r="862">
      <c r="A862" s="7" t="s">
        <v>47</v>
      </c>
      <c r="B862" s="7" t="s">
        <v>47</v>
      </c>
      <c r="C862" s="7" t="s">
        <v>47</v>
      </c>
    </row>
    <row r="863">
      <c r="A863" s="7" t="s">
        <v>47</v>
      </c>
      <c r="B863" s="7" t="s">
        <v>47</v>
      </c>
      <c r="C863" s="7" t="s">
        <v>47</v>
      </c>
    </row>
    <row r="864">
      <c r="A864" s="7" t="s">
        <v>47</v>
      </c>
      <c r="B864" s="7" t="s">
        <v>47</v>
      </c>
      <c r="C864" s="7" t="s">
        <v>47</v>
      </c>
    </row>
    <row r="865">
      <c r="A865" s="7" t="s">
        <v>47</v>
      </c>
      <c r="B865" s="7" t="s">
        <v>47</v>
      </c>
      <c r="C865" s="7" t="s">
        <v>47</v>
      </c>
    </row>
    <row r="866">
      <c r="A866" s="7" t="s">
        <v>47</v>
      </c>
      <c r="B866" s="7" t="s">
        <v>47</v>
      </c>
      <c r="C866" s="7" t="s">
        <v>47</v>
      </c>
    </row>
    <row r="867">
      <c r="A867" s="7" t="s">
        <v>47</v>
      </c>
      <c r="B867" s="7" t="s">
        <v>47</v>
      </c>
      <c r="C867" s="7" t="s">
        <v>47</v>
      </c>
    </row>
    <row r="868">
      <c r="A868" s="7" t="s">
        <v>47</v>
      </c>
      <c r="B868" s="7" t="s">
        <v>47</v>
      </c>
      <c r="C868" s="7" t="s">
        <v>47</v>
      </c>
    </row>
    <row r="869">
      <c r="A869" s="7" t="s">
        <v>47</v>
      </c>
      <c r="B869" s="7" t="s">
        <v>47</v>
      </c>
      <c r="C869" s="7" t="s">
        <v>47</v>
      </c>
    </row>
    <row r="870">
      <c r="A870" s="7" t="s">
        <v>47</v>
      </c>
      <c r="B870" s="7" t="s">
        <v>47</v>
      </c>
      <c r="C870" s="7" t="s">
        <v>47</v>
      </c>
    </row>
    <row r="871">
      <c r="A871" s="7" t="s">
        <v>47</v>
      </c>
      <c r="B871" s="7" t="s">
        <v>47</v>
      </c>
      <c r="C871" s="7" t="s">
        <v>47</v>
      </c>
    </row>
    <row r="872">
      <c r="A872" s="7" t="s">
        <v>47</v>
      </c>
      <c r="B872" s="7" t="s">
        <v>47</v>
      </c>
      <c r="C872" s="7" t="s">
        <v>47</v>
      </c>
    </row>
    <row r="873">
      <c r="A873" s="7" t="s">
        <v>47</v>
      </c>
      <c r="B873" s="7" t="s">
        <v>47</v>
      </c>
      <c r="C873" s="7" t="s">
        <v>47</v>
      </c>
    </row>
    <row r="874">
      <c r="A874" s="7" t="s">
        <v>47</v>
      </c>
      <c r="B874" s="7" t="s">
        <v>47</v>
      </c>
      <c r="C874" s="7" t="s">
        <v>47</v>
      </c>
    </row>
    <row r="875">
      <c r="A875" s="7" t="s">
        <v>47</v>
      </c>
      <c r="B875" s="7" t="s">
        <v>47</v>
      </c>
      <c r="C875" s="7" t="s">
        <v>47</v>
      </c>
    </row>
    <row r="876">
      <c r="A876" s="7" t="s">
        <v>47</v>
      </c>
      <c r="B876" s="7" t="s">
        <v>47</v>
      </c>
      <c r="C876" s="7" t="s">
        <v>47</v>
      </c>
    </row>
    <row r="877">
      <c r="A877" s="7" t="s">
        <v>47</v>
      </c>
      <c r="B877" s="7" t="s">
        <v>47</v>
      </c>
      <c r="C877" s="7" t="s">
        <v>47</v>
      </c>
    </row>
    <row r="878">
      <c r="A878" s="7" t="s">
        <v>47</v>
      </c>
      <c r="B878" s="7" t="s">
        <v>47</v>
      </c>
      <c r="C878" s="7" t="s">
        <v>47</v>
      </c>
    </row>
    <row r="879">
      <c r="A879" s="7" t="s">
        <v>47</v>
      </c>
      <c r="B879" s="7" t="s">
        <v>47</v>
      </c>
      <c r="C879" s="7" t="s">
        <v>47</v>
      </c>
    </row>
    <row r="880">
      <c r="A880" s="7" t="s">
        <v>47</v>
      </c>
      <c r="B880" s="7" t="s">
        <v>47</v>
      </c>
      <c r="C880" s="7" t="s">
        <v>47</v>
      </c>
    </row>
    <row r="881">
      <c r="A881" s="7" t="s">
        <v>47</v>
      </c>
      <c r="B881" s="7" t="s">
        <v>47</v>
      </c>
      <c r="C881" s="7" t="s">
        <v>47</v>
      </c>
    </row>
    <row r="882">
      <c r="A882" s="7" t="s">
        <v>47</v>
      </c>
      <c r="B882" s="7" t="s">
        <v>47</v>
      </c>
      <c r="C882" s="7" t="s">
        <v>47</v>
      </c>
    </row>
    <row r="883">
      <c r="A883" s="7" t="s">
        <v>47</v>
      </c>
      <c r="B883" s="7" t="s">
        <v>47</v>
      </c>
      <c r="C883" s="7" t="s">
        <v>47</v>
      </c>
    </row>
    <row r="884">
      <c r="A884" s="7" t="s">
        <v>47</v>
      </c>
      <c r="B884" s="7" t="s">
        <v>47</v>
      </c>
      <c r="C884" s="7" t="s">
        <v>47</v>
      </c>
    </row>
    <row r="885">
      <c r="A885" s="7" t="s">
        <v>47</v>
      </c>
      <c r="B885" s="7" t="s">
        <v>47</v>
      </c>
      <c r="C885" s="7" t="s">
        <v>47</v>
      </c>
    </row>
    <row r="886">
      <c r="A886" s="7" t="s">
        <v>47</v>
      </c>
      <c r="B886" s="7" t="s">
        <v>47</v>
      </c>
      <c r="C886" s="7" t="s">
        <v>47</v>
      </c>
    </row>
    <row r="887">
      <c r="A887" s="7" t="s">
        <v>47</v>
      </c>
      <c r="B887" s="7" t="s">
        <v>47</v>
      </c>
      <c r="C887" s="7" t="s">
        <v>47</v>
      </c>
    </row>
    <row r="888">
      <c r="A888" s="7" t="s">
        <v>47</v>
      </c>
      <c r="B888" s="7" t="s">
        <v>47</v>
      </c>
      <c r="C888" s="7" t="s">
        <v>47</v>
      </c>
    </row>
    <row r="889">
      <c r="A889" s="7" t="s">
        <v>47</v>
      </c>
      <c r="B889" s="7" t="s">
        <v>47</v>
      </c>
      <c r="C889" s="7" t="s">
        <v>47</v>
      </c>
    </row>
    <row r="890">
      <c r="A890" s="7" t="s">
        <v>47</v>
      </c>
      <c r="B890" s="7" t="s">
        <v>47</v>
      </c>
      <c r="C890" s="7" t="s">
        <v>47</v>
      </c>
    </row>
    <row r="891">
      <c r="A891" s="7" t="s">
        <v>47</v>
      </c>
      <c r="B891" s="7" t="s">
        <v>47</v>
      </c>
      <c r="C891" s="7" t="s">
        <v>47</v>
      </c>
    </row>
    <row r="892">
      <c r="A892" s="7" t="s">
        <v>47</v>
      </c>
      <c r="B892" s="7" t="s">
        <v>47</v>
      </c>
      <c r="C892" s="7" t="s">
        <v>47</v>
      </c>
    </row>
    <row r="893">
      <c r="A893" s="7" t="s">
        <v>47</v>
      </c>
      <c r="B893" s="7" t="s">
        <v>47</v>
      </c>
      <c r="C893" s="7" t="s">
        <v>47</v>
      </c>
    </row>
    <row r="894">
      <c r="A894" s="7" t="s">
        <v>47</v>
      </c>
      <c r="B894" s="7" t="s">
        <v>47</v>
      </c>
      <c r="C894" s="7" t="s">
        <v>47</v>
      </c>
    </row>
    <row r="895">
      <c r="A895" s="7" t="s">
        <v>47</v>
      </c>
      <c r="B895" s="7" t="s">
        <v>47</v>
      </c>
      <c r="C895" s="7" t="s">
        <v>47</v>
      </c>
    </row>
    <row r="896">
      <c r="A896" s="7" t="s">
        <v>47</v>
      </c>
      <c r="B896" s="7" t="s">
        <v>47</v>
      </c>
      <c r="C896" s="7" t="s">
        <v>47</v>
      </c>
    </row>
    <row r="897">
      <c r="A897" s="7" t="s">
        <v>47</v>
      </c>
      <c r="B897" s="7" t="s">
        <v>47</v>
      </c>
      <c r="C897" s="7" t="s">
        <v>47</v>
      </c>
    </row>
    <row r="898">
      <c r="A898" s="7" t="s">
        <v>47</v>
      </c>
      <c r="B898" s="7" t="s">
        <v>47</v>
      </c>
      <c r="C898" s="7" t="s">
        <v>47</v>
      </c>
    </row>
    <row r="899">
      <c r="A899" s="7" t="s">
        <v>47</v>
      </c>
      <c r="B899" s="7" t="s">
        <v>47</v>
      </c>
      <c r="C899" s="7" t="s">
        <v>47</v>
      </c>
    </row>
    <row r="900">
      <c r="A900" s="7" t="s">
        <v>47</v>
      </c>
      <c r="B900" s="7" t="s">
        <v>47</v>
      </c>
      <c r="C900" s="7" t="s">
        <v>47</v>
      </c>
    </row>
    <row r="901">
      <c r="A901" s="7" t="s">
        <v>47</v>
      </c>
      <c r="B901" s="7" t="s">
        <v>47</v>
      </c>
      <c r="C901" s="7" t="s">
        <v>47</v>
      </c>
    </row>
    <row r="902">
      <c r="A902" s="7" t="s">
        <v>47</v>
      </c>
      <c r="B902" s="7" t="s">
        <v>47</v>
      </c>
      <c r="C902" s="7" t="s">
        <v>47</v>
      </c>
    </row>
    <row r="903">
      <c r="A903" s="7" t="s">
        <v>47</v>
      </c>
      <c r="B903" s="7" t="s">
        <v>47</v>
      </c>
      <c r="C903" s="7" t="s">
        <v>47</v>
      </c>
    </row>
    <row r="904">
      <c r="A904" s="7" t="s">
        <v>47</v>
      </c>
      <c r="B904" s="7" t="s">
        <v>47</v>
      </c>
      <c r="C904" s="7" t="s">
        <v>47</v>
      </c>
    </row>
    <row r="905">
      <c r="A905" s="7" t="s">
        <v>47</v>
      </c>
      <c r="B905" s="7" t="s">
        <v>47</v>
      </c>
      <c r="C905" s="7" t="s">
        <v>47</v>
      </c>
    </row>
    <row r="906">
      <c r="A906" s="7" t="s">
        <v>47</v>
      </c>
      <c r="B906" s="7" t="s">
        <v>47</v>
      </c>
      <c r="C906" s="7" t="s">
        <v>47</v>
      </c>
    </row>
    <row r="907">
      <c r="A907" s="7" t="s">
        <v>47</v>
      </c>
      <c r="B907" s="7" t="s">
        <v>47</v>
      </c>
      <c r="C907" s="7" t="s">
        <v>47</v>
      </c>
    </row>
    <row r="908">
      <c r="A908" s="7" t="s">
        <v>47</v>
      </c>
      <c r="B908" s="7" t="s">
        <v>47</v>
      </c>
      <c r="C908" s="7" t="s">
        <v>47</v>
      </c>
    </row>
    <row r="909">
      <c r="A909" s="7" t="s">
        <v>47</v>
      </c>
      <c r="B909" s="7" t="s">
        <v>47</v>
      </c>
      <c r="C909" s="7" t="s">
        <v>47</v>
      </c>
    </row>
    <row r="910">
      <c r="A910" s="7" t="s">
        <v>47</v>
      </c>
      <c r="B910" s="7" t="s">
        <v>47</v>
      </c>
      <c r="C910" s="7" t="s">
        <v>47</v>
      </c>
    </row>
    <row r="911">
      <c r="A911" s="7" t="s">
        <v>47</v>
      </c>
      <c r="B911" s="7" t="s">
        <v>47</v>
      </c>
      <c r="C911" s="7" t="s">
        <v>47</v>
      </c>
    </row>
    <row r="912">
      <c r="A912" s="7" t="s">
        <v>47</v>
      </c>
      <c r="B912" s="7" t="s">
        <v>47</v>
      </c>
      <c r="C912" s="7" t="s">
        <v>47</v>
      </c>
    </row>
    <row r="913">
      <c r="A913" s="7" t="s">
        <v>47</v>
      </c>
      <c r="B913" s="7" t="s">
        <v>47</v>
      </c>
      <c r="C913" s="7" t="s">
        <v>47</v>
      </c>
    </row>
    <row r="914">
      <c r="A914" s="7" t="s">
        <v>47</v>
      </c>
      <c r="B914" s="7" t="s">
        <v>47</v>
      </c>
      <c r="C914" s="7" t="s">
        <v>47</v>
      </c>
    </row>
    <row r="915">
      <c r="A915" s="7" t="s">
        <v>47</v>
      </c>
      <c r="B915" s="7" t="s">
        <v>47</v>
      </c>
      <c r="C915" s="7" t="s">
        <v>47</v>
      </c>
    </row>
    <row r="916">
      <c r="A916" s="7" t="s">
        <v>47</v>
      </c>
      <c r="B916" s="7" t="s">
        <v>47</v>
      </c>
      <c r="C916" s="7" t="s">
        <v>47</v>
      </c>
    </row>
    <row r="917">
      <c r="A917" s="7" t="s">
        <v>47</v>
      </c>
      <c r="B917" s="7" t="s">
        <v>47</v>
      </c>
      <c r="C917" s="7" t="s">
        <v>47</v>
      </c>
    </row>
    <row r="918">
      <c r="A918" s="7" t="s">
        <v>47</v>
      </c>
      <c r="B918" s="7" t="s">
        <v>47</v>
      </c>
      <c r="C918" s="7" t="s">
        <v>47</v>
      </c>
    </row>
    <row r="919">
      <c r="A919" s="7" t="s">
        <v>47</v>
      </c>
      <c r="B919" s="7" t="s">
        <v>47</v>
      </c>
      <c r="C919" s="7" t="s">
        <v>47</v>
      </c>
    </row>
    <row r="920">
      <c r="A920" s="7" t="s">
        <v>47</v>
      </c>
      <c r="B920" s="7" t="s">
        <v>47</v>
      </c>
      <c r="C920" s="7" t="s">
        <v>47</v>
      </c>
    </row>
    <row r="921">
      <c r="A921" s="7" t="s">
        <v>47</v>
      </c>
      <c r="B921" s="7" t="s">
        <v>47</v>
      </c>
      <c r="C921" s="7" t="s">
        <v>47</v>
      </c>
    </row>
    <row r="922">
      <c r="A922" s="7" t="s">
        <v>47</v>
      </c>
      <c r="B922" s="7" t="s">
        <v>47</v>
      </c>
      <c r="C922" s="7" t="s">
        <v>47</v>
      </c>
    </row>
    <row r="923">
      <c r="A923" s="7" t="s">
        <v>47</v>
      </c>
      <c r="B923" s="7" t="s">
        <v>47</v>
      </c>
      <c r="C923" s="7" t="s">
        <v>47</v>
      </c>
    </row>
    <row r="924">
      <c r="A924" s="7" t="s">
        <v>47</v>
      </c>
      <c r="B924" s="7" t="s">
        <v>47</v>
      </c>
      <c r="C924" s="7" t="s">
        <v>47</v>
      </c>
    </row>
    <row r="925">
      <c r="A925" s="7" t="s">
        <v>47</v>
      </c>
      <c r="B925" s="7" t="s">
        <v>47</v>
      </c>
      <c r="C925" s="7" t="s">
        <v>47</v>
      </c>
    </row>
    <row r="926">
      <c r="A926" s="7" t="s">
        <v>47</v>
      </c>
      <c r="B926" s="7" t="s">
        <v>47</v>
      </c>
      <c r="C926" s="7" t="s">
        <v>47</v>
      </c>
    </row>
    <row r="927">
      <c r="A927" s="7" t="s">
        <v>47</v>
      </c>
      <c r="B927" s="7" t="s">
        <v>47</v>
      </c>
      <c r="C927" s="7" t="s">
        <v>47</v>
      </c>
    </row>
    <row r="928">
      <c r="A928" s="7" t="s">
        <v>47</v>
      </c>
      <c r="B928" s="7" t="s">
        <v>47</v>
      </c>
      <c r="C928" s="7" t="s">
        <v>47</v>
      </c>
    </row>
    <row r="929">
      <c r="A929" s="7" t="s">
        <v>47</v>
      </c>
      <c r="B929" s="7" t="s">
        <v>47</v>
      </c>
      <c r="C929" s="7" t="s">
        <v>47</v>
      </c>
    </row>
    <row r="930">
      <c r="A930" s="7" t="s">
        <v>47</v>
      </c>
      <c r="B930" s="7" t="s">
        <v>47</v>
      </c>
      <c r="C930" s="7" t="s">
        <v>47</v>
      </c>
    </row>
    <row r="931">
      <c r="A931" s="7" t="s">
        <v>47</v>
      </c>
      <c r="B931" s="7" t="s">
        <v>47</v>
      </c>
      <c r="C931" s="7" t="s">
        <v>47</v>
      </c>
    </row>
    <row r="932">
      <c r="A932" s="7" t="s">
        <v>47</v>
      </c>
      <c r="B932" s="7" t="s">
        <v>47</v>
      </c>
      <c r="C932" s="7" t="s">
        <v>47</v>
      </c>
    </row>
    <row r="933">
      <c r="A933" s="7" t="s">
        <v>47</v>
      </c>
      <c r="B933" s="7" t="s">
        <v>47</v>
      </c>
      <c r="C933" s="7" t="s">
        <v>47</v>
      </c>
    </row>
    <row r="934">
      <c r="A934" s="7" t="s">
        <v>47</v>
      </c>
      <c r="B934" s="7" t="s">
        <v>47</v>
      </c>
      <c r="C934" s="7" t="s">
        <v>47</v>
      </c>
    </row>
    <row r="935">
      <c r="A935" s="7" t="s">
        <v>47</v>
      </c>
      <c r="B935" s="7" t="s">
        <v>47</v>
      </c>
      <c r="C935" s="7" t="s">
        <v>47</v>
      </c>
    </row>
    <row r="936">
      <c r="A936" s="7" t="s">
        <v>47</v>
      </c>
      <c r="B936" s="7" t="s">
        <v>47</v>
      </c>
      <c r="C936" s="7" t="s">
        <v>47</v>
      </c>
    </row>
    <row r="937">
      <c r="A937" s="7" t="s">
        <v>47</v>
      </c>
      <c r="B937" s="7" t="s">
        <v>47</v>
      </c>
      <c r="C937" s="7" t="s">
        <v>47</v>
      </c>
    </row>
    <row r="938">
      <c r="A938" s="7" t="s">
        <v>47</v>
      </c>
      <c r="B938" s="7" t="s">
        <v>47</v>
      </c>
      <c r="C938" s="7" t="s">
        <v>47</v>
      </c>
    </row>
    <row r="939">
      <c r="A939" s="7" t="s">
        <v>47</v>
      </c>
      <c r="B939" s="7" t="s">
        <v>47</v>
      </c>
      <c r="C939" s="7" t="s">
        <v>47</v>
      </c>
    </row>
    <row r="940">
      <c r="A940" s="7" t="s">
        <v>47</v>
      </c>
      <c r="B940" s="7" t="s">
        <v>47</v>
      </c>
      <c r="C940" s="7" t="s">
        <v>47</v>
      </c>
    </row>
    <row r="941">
      <c r="A941" s="7" t="s">
        <v>47</v>
      </c>
      <c r="B941" s="7" t="s">
        <v>47</v>
      </c>
      <c r="C941" s="7" t="s">
        <v>47</v>
      </c>
    </row>
    <row r="942">
      <c r="A942" s="7" t="s">
        <v>47</v>
      </c>
      <c r="B942" s="7" t="s">
        <v>47</v>
      </c>
      <c r="C942" s="7" t="s">
        <v>47</v>
      </c>
    </row>
    <row r="943">
      <c r="A943" s="7" t="s">
        <v>47</v>
      </c>
      <c r="B943" s="7" t="s">
        <v>47</v>
      </c>
      <c r="C943" s="7" t="s">
        <v>47</v>
      </c>
    </row>
    <row r="944">
      <c r="A944" s="7" t="s">
        <v>47</v>
      </c>
      <c r="B944" s="7" t="s">
        <v>47</v>
      </c>
      <c r="C944" s="7" t="s">
        <v>47</v>
      </c>
    </row>
    <row r="945">
      <c r="A945" s="7" t="s">
        <v>47</v>
      </c>
      <c r="B945" s="7" t="s">
        <v>47</v>
      </c>
      <c r="C945" s="7" t="s">
        <v>47</v>
      </c>
    </row>
    <row r="946">
      <c r="A946" s="7" t="s">
        <v>47</v>
      </c>
      <c r="B946" s="7" t="s">
        <v>47</v>
      </c>
      <c r="C946" s="7" t="s">
        <v>47</v>
      </c>
    </row>
    <row r="947">
      <c r="A947" s="7" t="s">
        <v>47</v>
      </c>
      <c r="B947" s="7" t="s">
        <v>47</v>
      </c>
      <c r="C947" s="7" t="s">
        <v>47</v>
      </c>
    </row>
    <row r="948">
      <c r="A948" s="7" t="s">
        <v>47</v>
      </c>
      <c r="B948" s="7" t="s">
        <v>47</v>
      </c>
      <c r="C948" s="7" t="s">
        <v>47</v>
      </c>
    </row>
    <row r="949">
      <c r="A949" s="7" t="s">
        <v>47</v>
      </c>
      <c r="B949" s="7" t="s">
        <v>47</v>
      </c>
      <c r="C949" s="7" t="s">
        <v>47</v>
      </c>
    </row>
    <row r="950">
      <c r="A950" s="7" t="s">
        <v>47</v>
      </c>
      <c r="B950" s="7" t="s">
        <v>47</v>
      </c>
      <c r="C950" s="7" t="s">
        <v>47</v>
      </c>
    </row>
    <row r="951">
      <c r="A951" s="7" t="s">
        <v>47</v>
      </c>
      <c r="B951" s="7" t="s">
        <v>47</v>
      </c>
      <c r="C951" s="7" t="s">
        <v>47</v>
      </c>
    </row>
    <row r="952">
      <c r="A952" s="7" t="s">
        <v>47</v>
      </c>
      <c r="B952" s="7" t="s">
        <v>47</v>
      </c>
      <c r="C952" s="7" t="s">
        <v>47</v>
      </c>
    </row>
    <row r="953">
      <c r="A953" s="7" t="s">
        <v>47</v>
      </c>
      <c r="B953" s="7" t="s">
        <v>47</v>
      </c>
      <c r="C953" s="7" t="s">
        <v>47</v>
      </c>
    </row>
    <row r="954">
      <c r="A954" s="7" t="s">
        <v>47</v>
      </c>
      <c r="B954" s="7" t="s">
        <v>47</v>
      </c>
      <c r="C954" s="7" t="s">
        <v>47</v>
      </c>
    </row>
    <row r="955">
      <c r="A955" s="7" t="s">
        <v>47</v>
      </c>
      <c r="B955" s="7" t="s">
        <v>47</v>
      </c>
      <c r="C955" s="7" t="s">
        <v>47</v>
      </c>
    </row>
    <row r="956">
      <c r="A956" s="7" t="s">
        <v>47</v>
      </c>
      <c r="B956" s="7" t="s">
        <v>47</v>
      </c>
      <c r="C956" s="7" t="s">
        <v>47</v>
      </c>
    </row>
    <row r="957">
      <c r="A957" s="7" t="s">
        <v>47</v>
      </c>
      <c r="B957" s="7" t="s">
        <v>47</v>
      </c>
      <c r="C957" s="7" t="s">
        <v>47</v>
      </c>
    </row>
    <row r="958">
      <c r="A958" s="7" t="s">
        <v>47</v>
      </c>
      <c r="B958" s="7" t="s">
        <v>47</v>
      </c>
      <c r="C958" s="7" t="s">
        <v>47</v>
      </c>
    </row>
    <row r="959">
      <c r="A959" s="7" t="s">
        <v>47</v>
      </c>
      <c r="B959" s="7" t="s">
        <v>47</v>
      </c>
      <c r="C959" s="7" t="s">
        <v>47</v>
      </c>
    </row>
    <row r="960">
      <c r="A960" s="7" t="s">
        <v>47</v>
      </c>
      <c r="B960" s="7" t="s">
        <v>47</v>
      </c>
      <c r="C960" s="7" t="s">
        <v>47</v>
      </c>
    </row>
    <row r="961">
      <c r="A961" s="7" t="s">
        <v>47</v>
      </c>
      <c r="B961" s="7" t="s">
        <v>47</v>
      </c>
      <c r="C961" s="7" t="s">
        <v>47</v>
      </c>
    </row>
    <row r="962">
      <c r="A962" s="7" t="s">
        <v>47</v>
      </c>
      <c r="B962" s="7" t="s">
        <v>47</v>
      </c>
      <c r="C962" s="7" t="s">
        <v>47</v>
      </c>
    </row>
    <row r="963">
      <c r="A963" s="7" t="s">
        <v>47</v>
      </c>
      <c r="B963" s="7" t="s">
        <v>47</v>
      </c>
      <c r="C963" s="7" t="s">
        <v>47</v>
      </c>
    </row>
    <row r="964">
      <c r="A964" s="7" t="s">
        <v>47</v>
      </c>
      <c r="B964" s="7" t="s">
        <v>47</v>
      </c>
      <c r="C964" s="7" t="s">
        <v>47</v>
      </c>
    </row>
    <row r="965">
      <c r="A965" s="7" t="s">
        <v>47</v>
      </c>
      <c r="B965" s="7" t="s">
        <v>47</v>
      </c>
      <c r="C965" s="7" t="s">
        <v>47</v>
      </c>
    </row>
    <row r="966">
      <c r="A966" s="7" t="s">
        <v>47</v>
      </c>
      <c r="B966" s="7" t="s">
        <v>47</v>
      </c>
      <c r="C966" s="7" t="s">
        <v>47</v>
      </c>
    </row>
    <row r="967">
      <c r="A967" s="7" t="s">
        <v>47</v>
      </c>
      <c r="B967" s="7" t="s">
        <v>47</v>
      </c>
      <c r="C967" s="7" t="s">
        <v>47</v>
      </c>
    </row>
    <row r="968">
      <c r="A968" s="7" t="s">
        <v>47</v>
      </c>
      <c r="B968" s="7" t="s">
        <v>47</v>
      </c>
      <c r="C968" s="7" t="s">
        <v>47</v>
      </c>
    </row>
    <row r="969">
      <c r="A969" s="7" t="s">
        <v>47</v>
      </c>
      <c r="B969" s="7" t="s">
        <v>47</v>
      </c>
      <c r="C969" s="7" t="s">
        <v>47</v>
      </c>
    </row>
    <row r="970">
      <c r="A970" s="7" t="s">
        <v>47</v>
      </c>
      <c r="B970" s="7" t="s">
        <v>47</v>
      </c>
      <c r="C970" s="7" t="s">
        <v>47</v>
      </c>
    </row>
    <row r="971">
      <c r="A971" s="7" t="s">
        <v>47</v>
      </c>
      <c r="B971" s="7" t="s">
        <v>47</v>
      </c>
      <c r="C971" s="7" t="s">
        <v>47</v>
      </c>
    </row>
    <row r="972">
      <c r="A972" s="7" t="s">
        <v>47</v>
      </c>
      <c r="B972" s="7" t="s">
        <v>47</v>
      </c>
      <c r="C972" s="7" t="s">
        <v>47</v>
      </c>
    </row>
    <row r="973">
      <c r="A973" s="7" t="s">
        <v>47</v>
      </c>
      <c r="B973" s="7" t="s">
        <v>47</v>
      </c>
      <c r="C973" s="7" t="s">
        <v>47</v>
      </c>
    </row>
    <row r="974">
      <c r="A974" s="7" t="s">
        <v>47</v>
      </c>
      <c r="B974" s="7" t="s">
        <v>47</v>
      </c>
      <c r="C974" s="7" t="s">
        <v>47</v>
      </c>
    </row>
    <row r="975">
      <c r="A975" s="7" t="s">
        <v>47</v>
      </c>
      <c r="B975" s="7" t="s">
        <v>47</v>
      </c>
      <c r="C975" s="7" t="s">
        <v>47</v>
      </c>
    </row>
    <row r="976">
      <c r="A976" s="7" t="s">
        <v>47</v>
      </c>
      <c r="B976" s="7" t="s">
        <v>47</v>
      </c>
      <c r="C976" s="7" t="s">
        <v>47</v>
      </c>
    </row>
    <row r="977">
      <c r="A977" s="7" t="s">
        <v>47</v>
      </c>
      <c r="B977" s="7" t="s">
        <v>47</v>
      </c>
      <c r="C977" s="7" t="s">
        <v>47</v>
      </c>
    </row>
    <row r="978">
      <c r="A978" s="7" t="s">
        <v>47</v>
      </c>
      <c r="B978" s="7" t="s">
        <v>47</v>
      </c>
      <c r="C978" s="7" t="s">
        <v>47</v>
      </c>
    </row>
    <row r="979">
      <c r="A979" s="7" t="s">
        <v>47</v>
      </c>
      <c r="B979" s="7" t="s">
        <v>47</v>
      </c>
      <c r="C979" s="7" t="s">
        <v>47</v>
      </c>
    </row>
    <row r="980">
      <c r="A980" s="7" t="s">
        <v>47</v>
      </c>
      <c r="B980" s="7" t="s">
        <v>47</v>
      </c>
      <c r="C980" s="7" t="s">
        <v>47</v>
      </c>
    </row>
    <row r="981">
      <c r="A981" s="7" t="s">
        <v>47</v>
      </c>
      <c r="B981" s="7" t="s">
        <v>47</v>
      </c>
      <c r="C981" s="7" t="s">
        <v>47</v>
      </c>
    </row>
    <row r="982">
      <c r="A982" s="7" t="s">
        <v>47</v>
      </c>
      <c r="B982" s="7" t="s">
        <v>47</v>
      </c>
      <c r="C982" s="7" t="s">
        <v>47</v>
      </c>
    </row>
    <row r="983">
      <c r="A983" s="7" t="s">
        <v>47</v>
      </c>
      <c r="B983" s="7" t="s">
        <v>47</v>
      </c>
      <c r="C983" s="7" t="s">
        <v>47</v>
      </c>
    </row>
    <row r="984">
      <c r="A984" s="7" t="s">
        <v>47</v>
      </c>
      <c r="B984" s="7" t="s">
        <v>47</v>
      </c>
      <c r="C984" s="7" t="s">
        <v>47</v>
      </c>
    </row>
    <row r="985">
      <c r="A985" s="7" t="s">
        <v>47</v>
      </c>
      <c r="B985" s="7" t="s">
        <v>47</v>
      </c>
      <c r="C985" s="7" t="s">
        <v>47</v>
      </c>
    </row>
    <row r="986">
      <c r="A986" s="7" t="s">
        <v>47</v>
      </c>
      <c r="B986" s="7" t="s">
        <v>47</v>
      </c>
      <c r="C986" s="7" t="s">
        <v>47</v>
      </c>
    </row>
    <row r="987">
      <c r="A987" s="7" t="s">
        <v>47</v>
      </c>
      <c r="B987" s="7" t="s">
        <v>47</v>
      </c>
      <c r="C987" s="7" t="s">
        <v>47</v>
      </c>
    </row>
    <row r="988">
      <c r="A988" s="7" t="s">
        <v>47</v>
      </c>
      <c r="B988" s="7" t="s">
        <v>47</v>
      </c>
      <c r="C988" s="7" t="s">
        <v>47</v>
      </c>
    </row>
    <row r="989">
      <c r="A989" s="7" t="s">
        <v>47</v>
      </c>
      <c r="B989" s="7" t="s">
        <v>47</v>
      </c>
      <c r="C989" s="7" t="s">
        <v>47</v>
      </c>
    </row>
    <row r="990">
      <c r="A990" s="7" t="s">
        <v>47</v>
      </c>
      <c r="B990" s="7" t="s">
        <v>47</v>
      </c>
      <c r="C990" s="7" t="s">
        <v>47</v>
      </c>
    </row>
    <row r="991">
      <c r="A991" s="7" t="s">
        <v>47</v>
      </c>
      <c r="B991" s="7" t="s">
        <v>47</v>
      </c>
      <c r="C991" s="7" t="s">
        <v>47</v>
      </c>
    </row>
    <row r="992">
      <c r="A992" s="7" t="s">
        <v>47</v>
      </c>
      <c r="B992" s="7" t="s">
        <v>47</v>
      </c>
      <c r="C992" s="7" t="s">
        <v>47</v>
      </c>
    </row>
    <row r="993">
      <c r="A993" s="7" t="s">
        <v>47</v>
      </c>
      <c r="B993" s="7" t="s">
        <v>47</v>
      </c>
      <c r="C993" s="7" t="s">
        <v>47</v>
      </c>
    </row>
    <row r="994">
      <c r="A994" s="7" t="s">
        <v>47</v>
      </c>
      <c r="B994" s="7" t="s">
        <v>47</v>
      </c>
      <c r="C994" s="7" t="s">
        <v>47</v>
      </c>
    </row>
    <row r="995">
      <c r="A995" s="7" t="s">
        <v>47</v>
      </c>
      <c r="B995" s="7" t="s">
        <v>47</v>
      </c>
      <c r="C995" s="7" t="s">
        <v>47</v>
      </c>
    </row>
    <row r="996">
      <c r="A996" s="7" t="s">
        <v>47</v>
      </c>
      <c r="B996" s="7" t="s">
        <v>47</v>
      </c>
      <c r="C996" s="7" t="s">
        <v>47</v>
      </c>
    </row>
    <row r="997">
      <c r="A997" s="7" t="s">
        <v>47</v>
      </c>
      <c r="B997" s="7" t="s">
        <v>47</v>
      </c>
      <c r="C997" s="7" t="s">
        <v>47</v>
      </c>
    </row>
    <row r="998">
      <c r="A998" s="7" t="s">
        <v>47</v>
      </c>
      <c r="B998" s="7" t="s">
        <v>47</v>
      </c>
      <c r="C998" s="7" t="s">
        <v>47</v>
      </c>
    </row>
    <row r="999">
      <c r="A999" s="7" t="s">
        <v>47</v>
      </c>
      <c r="B999" s="7" t="s">
        <v>47</v>
      </c>
      <c r="C999" s="7" t="s">
        <v>47</v>
      </c>
    </row>
    <row r="1000">
      <c r="A1000" s="7" t="s">
        <v>47</v>
      </c>
      <c r="B1000" s="7" t="s">
        <v>47</v>
      </c>
      <c r="C1000" s="7" t="s">
        <v>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88"/>
    <col customWidth="1" min="2" max="2" width="8.88"/>
    <col customWidth="1" min="3" max="3" width="22.13"/>
    <col customWidth="1" min="4" max="4" width="11.75"/>
    <col customWidth="1" min="5" max="5" width="13.88"/>
    <col customWidth="1" min="6" max="6" width="61.0"/>
    <col customWidth="1" min="7" max="7" width="5.75"/>
    <col customWidth="1" min="8" max="8" width="10.88"/>
    <col customWidth="1" min="9" max="9" width="6.88"/>
  </cols>
  <sheetData>
    <row r="1">
      <c r="A1" s="1" t="s">
        <v>3</v>
      </c>
      <c r="B1" s="1" t="s">
        <v>4</v>
      </c>
      <c r="C1" s="1" t="s">
        <v>5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>
      <c r="A2" s="4">
        <v>0.0</v>
      </c>
      <c r="B2" s="5">
        <v>0.0</v>
      </c>
      <c r="C2" s="6" t="s">
        <v>6</v>
      </c>
      <c r="D2" s="10" t="s">
        <v>54</v>
      </c>
      <c r="E2" s="11">
        <v>45870.0</v>
      </c>
      <c r="F2" s="12" t="s">
        <v>55</v>
      </c>
      <c r="G2" s="2">
        <v>864.0</v>
      </c>
      <c r="H2" s="13">
        <v>7688.0</v>
      </c>
      <c r="I2" s="14">
        <v>0.051</v>
      </c>
    </row>
    <row r="3">
      <c r="A3" s="5">
        <v>1.0</v>
      </c>
      <c r="B3" s="5">
        <v>1.0</v>
      </c>
      <c r="C3" s="6" t="s">
        <v>7</v>
      </c>
      <c r="D3" s="10" t="s">
        <v>56</v>
      </c>
      <c r="E3" s="15" t="s">
        <v>57</v>
      </c>
      <c r="F3" s="15" t="s">
        <v>58</v>
      </c>
      <c r="G3" s="13">
        <v>53630.0</v>
      </c>
      <c r="H3" s="16">
        <v>703036.0</v>
      </c>
      <c r="I3" s="17">
        <v>0.05</v>
      </c>
    </row>
    <row r="4">
      <c r="A4" s="5">
        <v>1.0</v>
      </c>
      <c r="B4" s="5">
        <v>2.0</v>
      </c>
      <c r="C4" s="6" t="s">
        <v>8</v>
      </c>
      <c r="D4" s="10" t="s">
        <v>59</v>
      </c>
      <c r="E4" s="15" t="s">
        <v>60</v>
      </c>
      <c r="F4" s="15" t="s">
        <v>61</v>
      </c>
      <c r="G4" s="16">
        <v>1301.0</v>
      </c>
      <c r="H4" s="16">
        <v>14793.0</v>
      </c>
      <c r="I4" s="17">
        <v>0.042</v>
      </c>
    </row>
    <row r="5">
      <c r="A5" s="5">
        <v>1.0</v>
      </c>
      <c r="B5" s="5">
        <v>3.0</v>
      </c>
      <c r="C5" s="6" t="s">
        <v>9</v>
      </c>
      <c r="D5" s="10" t="s">
        <v>62</v>
      </c>
      <c r="E5" s="18">
        <v>45779.0</v>
      </c>
      <c r="F5" s="19" t="s">
        <v>63</v>
      </c>
      <c r="G5" s="16">
        <v>6722.0</v>
      </c>
      <c r="H5" s="16">
        <v>110531.0</v>
      </c>
      <c r="I5" s="17">
        <v>0.038</v>
      </c>
    </row>
    <row r="6">
      <c r="A6" s="5">
        <v>1.0</v>
      </c>
      <c r="B6" s="5">
        <v>4.0</v>
      </c>
      <c r="C6" s="6" t="s">
        <v>10</v>
      </c>
      <c r="D6" s="10" t="s">
        <v>64</v>
      </c>
      <c r="E6" s="18">
        <v>45993.0</v>
      </c>
      <c r="F6" s="20" t="s">
        <v>65</v>
      </c>
      <c r="G6" s="21">
        <v>644.0</v>
      </c>
      <c r="H6" s="16">
        <v>9997.0</v>
      </c>
      <c r="I6" s="22">
        <v>0.023</v>
      </c>
    </row>
    <row r="7">
      <c r="A7" s="5">
        <v>1.0</v>
      </c>
      <c r="B7" s="5">
        <v>5.0</v>
      </c>
      <c r="C7" s="6" t="s">
        <v>11</v>
      </c>
      <c r="D7" s="10" t="s">
        <v>66</v>
      </c>
      <c r="E7" s="19" t="s">
        <v>67</v>
      </c>
      <c r="F7" s="19" t="s">
        <v>68</v>
      </c>
      <c r="G7" s="16">
        <v>1172.0</v>
      </c>
      <c r="H7" s="16">
        <v>10274.0</v>
      </c>
      <c r="I7" s="17">
        <v>0.051</v>
      </c>
    </row>
    <row r="8">
      <c r="A8" s="5">
        <v>2.0</v>
      </c>
      <c r="B8" s="5">
        <v>6.0</v>
      </c>
      <c r="C8" s="6" t="s">
        <v>12</v>
      </c>
      <c r="D8" s="10" t="s">
        <v>69</v>
      </c>
      <c r="E8" s="19" t="s">
        <v>70</v>
      </c>
      <c r="F8" s="19" t="s">
        <v>71</v>
      </c>
      <c r="G8" s="16">
        <v>2256.0</v>
      </c>
      <c r="H8" s="16">
        <v>31232.0</v>
      </c>
      <c r="I8" s="17">
        <v>0.039</v>
      </c>
    </row>
    <row r="9">
      <c r="A9" s="5">
        <v>2.0</v>
      </c>
      <c r="B9" s="5">
        <v>7.0</v>
      </c>
      <c r="C9" s="6" t="s">
        <v>13</v>
      </c>
      <c r="D9" s="10" t="s">
        <v>72</v>
      </c>
      <c r="E9" s="18">
        <v>45720.0</v>
      </c>
      <c r="F9" s="20" t="s">
        <v>73</v>
      </c>
      <c r="G9" s="21">
        <v>277.0</v>
      </c>
      <c r="H9" s="16">
        <v>9638.0</v>
      </c>
      <c r="I9" s="17">
        <v>0.016</v>
      </c>
    </row>
    <row r="10">
      <c r="A10" s="5">
        <v>2.0</v>
      </c>
      <c r="B10" s="5">
        <v>8.0</v>
      </c>
      <c r="C10" s="6" t="s">
        <v>14</v>
      </c>
      <c r="D10" s="10" t="s">
        <v>74</v>
      </c>
      <c r="E10" s="19" t="s">
        <v>75</v>
      </c>
      <c r="F10" s="19" t="s">
        <v>76</v>
      </c>
      <c r="G10" s="16">
        <v>29838.0</v>
      </c>
      <c r="H10" s="16">
        <v>301238.0</v>
      </c>
      <c r="I10" s="17">
        <v>0.06</v>
      </c>
    </row>
    <row r="11">
      <c r="A11" s="5">
        <v>2.0</v>
      </c>
      <c r="B11" s="5">
        <v>9.0</v>
      </c>
      <c r="C11" s="6" t="s">
        <v>15</v>
      </c>
      <c r="D11" s="10" t="s">
        <v>77</v>
      </c>
      <c r="E11" s="19" t="s">
        <v>78</v>
      </c>
      <c r="F11" s="19" t="s">
        <v>79</v>
      </c>
      <c r="G11" s="16">
        <v>8563.0</v>
      </c>
      <c r="H11" s="16">
        <v>98078.0</v>
      </c>
      <c r="I11" s="17">
        <v>0.052</v>
      </c>
    </row>
    <row r="12">
      <c r="A12" s="5">
        <v>2.0</v>
      </c>
      <c r="B12" s="5">
        <v>10.0</v>
      </c>
      <c r="C12" s="6" t="s">
        <v>16</v>
      </c>
      <c r="D12" s="10" t="s">
        <v>80</v>
      </c>
      <c r="E12" s="23" t="s">
        <v>81</v>
      </c>
      <c r="F12" s="23" t="s">
        <v>82</v>
      </c>
      <c r="G12" s="13">
        <v>109967.0</v>
      </c>
      <c r="H12" s="16">
        <v>1458413.0</v>
      </c>
      <c r="I12" s="17">
        <v>0.053</v>
      </c>
    </row>
    <row r="13">
      <c r="A13" s="5">
        <v>3.0</v>
      </c>
      <c r="B13" s="5">
        <v>11.0</v>
      </c>
      <c r="C13" s="6" t="s">
        <v>17</v>
      </c>
      <c r="D13" s="10" t="s">
        <v>83</v>
      </c>
      <c r="E13" s="24">
        <v>45937.0</v>
      </c>
      <c r="F13" s="25" t="s">
        <v>84</v>
      </c>
      <c r="G13" s="26">
        <v>163250.0</v>
      </c>
      <c r="H13" s="16">
        <v>2769055.0</v>
      </c>
      <c r="I13" s="17">
        <v>0.037</v>
      </c>
    </row>
    <row r="14">
      <c r="A14" s="5">
        <v>3.0</v>
      </c>
      <c r="B14" s="5">
        <v>12.0</v>
      </c>
      <c r="C14" s="6" t="s">
        <v>18</v>
      </c>
      <c r="D14" s="10" t="s">
        <v>85</v>
      </c>
      <c r="E14" s="19" t="s">
        <v>86</v>
      </c>
      <c r="F14" s="19" t="s">
        <v>87</v>
      </c>
      <c r="G14" s="16">
        <v>21443.0</v>
      </c>
      <c r="H14" s="16">
        <v>267489.0</v>
      </c>
      <c r="I14" s="17">
        <v>0.059</v>
      </c>
    </row>
    <row r="15">
      <c r="A15" s="5">
        <v>3.0</v>
      </c>
      <c r="B15" s="5">
        <v>13.0</v>
      </c>
      <c r="C15" s="6" t="s">
        <v>19</v>
      </c>
      <c r="D15" s="10" t="s">
        <v>88</v>
      </c>
      <c r="E15" s="20" t="s">
        <v>89</v>
      </c>
      <c r="F15" s="20" t="s">
        <v>90</v>
      </c>
      <c r="G15" s="21">
        <v>769.0</v>
      </c>
      <c r="H15" s="16">
        <v>11661.0</v>
      </c>
      <c r="I15" s="17">
        <v>0.031</v>
      </c>
    </row>
    <row r="16">
      <c r="A16" s="5">
        <v>3.0</v>
      </c>
      <c r="B16" s="5">
        <v>14.0</v>
      </c>
      <c r="C16" s="6" t="s">
        <v>20</v>
      </c>
      <c r="D16" s="10" t="s">
        <v>91</v>
      </c>
      <c r="E16" s="20" t="s">
        <v>92</v>
      </c>
      <c r="F16" s="20" t="s">
        <v>93</v>
      </c>
      <c r="G16" s="21">
        <v>575.0</v>
      </c>
      <c r="H16" s="16">
        <v>6852.0</v>
      </c>
      <c r="I16" s="17">
        <v>0.026</v>
      </c>
    </row>
    <row r="17">
      <c r="A17" s="5">
        <v>3.0</v>
      </c>
      <c r="B17" s="5">
        <v>15.0</v>
      </c>
      <c r="C17" s="6" t="s">
        <v>21</v>
      </c>
      <c r="D17" s="10" t="s">
        <v>94</v>
      </c>
      <c r="E17" s="18">
        <v>45667.0</v>
      </c>
      <c r="F17" s="19" t="s">
        <v>95</v>
      </c>
      <c r="G17" s="16">
        <v>2278.0</v>
      </c>
      <c r="H17" s="16">
        <v>18579.0</v>
      </c>
      <c r="I17" s="17">
        <v>0.063</v>
      </c>
    </row>
    <row r="18">
      <c r="A18" s="5">
        <v>4.0</v>
      </c>
      <c r="B18" s="5">
        <v>16.0</v>
      </c>
      <c r="C18" s="6" t="s">
        <v>22</v>
      </c>
      <c r="D18" s="10" t="s">
        <v>96</v>
      </c>
      <c r="E18" s="19" t="s">
        <v>97</v>
      </c>
      <c r="F18" s="19" t="s">
        <v>98</v>
      </c>
      <c r="G18" s="16">
        <v>106823.0</v>
      </c>
      <c r="H18" s="16">
        <v>1675638.0</v>
      </c>
      <c r="I18" s="17">
        <v>0.049</v>
      </c>
    </row>
    <row r="19">
      <c r="A19" s="5">
        <v>4.0</v>
      </c>
      <c r="B19" s="5">
        <v>17.0</v>
      </c>
      <c r="C19" s="6" t="s">
        <v>23</v>
      </c>
      <c r="D19" s="10" t="s">
        <v>99</v>
      </c>
      <c r="E19" s="27">
        <v>45718.0</v>
      </c>
      <c r="F19" s="19" t="s">
        <v>100</v>
      </c>
      <c r="G19" s="16">
        <v>9584.0</v>
      </c>
      <c r="H19" s="16">
        <v>131520.0</v>
      </c>
      <c r="I19" s="17">
        <v>0.049</v>
      </c>
    </row>
    <row r="20">
      <c r="A20" s="5">
        <v>4.0</v>
      </c>
      <c r="B20" s="5">
        <v>18.0</v>
      </c>
      <c r="C20" s="28" t="s">
        <v>101</v>
      </c>
      <c r="D20" s="29" t="s">
        <v>102</v>
      </c>
      <c r="E20" s="27" t="s">
        <v>103</v>
      </c>
      <c r="F20" s="20" t="s">
        <v>104</v>
      </c>
      <c r="G20" s="21">
        <v>520.0</v>
      </c>
      <c r="H20" s="30">
        <v>11083.0</v>
      </c>
      <c r="I20" s="17">
        <v>0.025</v>
      </c>
    </row>
    <row r="21">
      <c r="H21" s="3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</hyperlinks>
  <drawing r:id="rId2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6.38"/>
    <col customWidth="1" min="2" max="2" width="8.13"/>
    <col customWidth="1" min="3" max="3" width="22.13"/>
    <col customWidth="1" min="4" max="5" width="21.25"/>
    <col customWidth="1" min="6" max="6" width="11.88"/>
    <col customWidth="1" min="7" max="7" width="10.0"/>
  </cols>
  <sheetData>
    <row r="1">
      <c r="A1" s="1" t="s">
        <v>3</v>
      </c>
      <c r="B1" s="1" t="s">
        <v>4</v>
      </c>
      <c r="C1" s="1" t="s">
        <v>5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  <c r="I1" s="1" t="s">
        <v>110</v>
      </c>
      <c r="J1" s="1" t="s">
        <v>111</v>
      </c>
      <c r="K1" s="1" t="s">
        <v>112</v>
      </c>
      <c r="L1" s="1" t="s">
        <v>113</v>
      </c>
      <c r="M1" s="1" t="s">
        <v>114</v>
      </c>
      <c r="N1" s="1" t="s">
        <v>115</v>
      </c>
      <c r="O1" s="1" t="s">
        <v>116</v>
      </c>
      <c r="P1" s="1" t="s">
        <v>117</v>
      </c>
      <c r="Q1" s="1" t="s">
        <v>118</v>
      </c>
      <c r="R1" s="1" t="s">
        <v>119</v>
      </c>
      <c r="S1" s="1" t="s">
        <v>120</v>
      </c>
      <c r="T1" s="1" t="s">
        <v>121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</row>
    <row r="2">
      <c r="A2" s="4">
        <v>0.0</v>
      </c>
      <c r="B2" s="5">
        <v>0.0</v>
      </c>
      <c r="C2" s="6" t="s">
        <v>6</v>
      </c>
      <c r="D2" s="2">
        <v>0.0</v>
      </c>
    </row>
    <row r="3">
      <c r="A3" s="5">
        <v>1.0</v>
      </c>
      <c r="B3" s="5">
        <v>1.0</v>
      </c>
      <c r="C3" s="6" t="s">
        <v>7</v>
      </c>
      <c r="D3" s="2">
        <v>1.0</v>
      </c>
      <c r="E3" s="10" t="s">
        <v>130</v>
      </c>
      <c r="F3" s="16">
        <v>105597.0</v>
      </c>
      <c r="G3" s="16">
        <v>213651.0</v>
      </c>
    </row>
    <row r="4">
      <c r="A4" s="5">
        <v>1.0</v>
      </c>
      <c r="B4" s="5">
        <v>2.0</v>
      </c>
      <c r="C4" s="28" t="s">
        <v>8</v>
      </c>
      <c r="D4" s="2">
        <v>3.0</v>
      </c>
      <c r="E4" s="10" t="s">
        <v>131</v>
      </c>
      <c r="F4" s="16">
        <v>27384.0</v>
      </c>
      <c r="G4" s="16">
        <v>9305.0</v>
      </c>
      <c r="H4" s="10" t="s">
        <v>132</v>
      </c>
      <c r="I4" s="16">
        <v>31722.0</v>
      </c>
      <c r="J4" s="16">
        <v>6327.0</v>
      </c>
      <c r="K4" s="10" t="s">
        <v>133</v>
      </c>
      <c r="L4" s="16">
        <v>4061.0</v>
      </c>
      <c r="M4" s="16">
        <v>3359.0</v>
      </c>
    </row>
    <row r="5">
      <c r="A5" s="5">
        <v>1.0</v>
      </c>
      <c r="B5" s="5">
        <v>3.0</v>
      </c>
      <c r="C5" s="6" t="s">
        <v>9</v>
      </c>
      <c r="D5" s="2">
        <v>1.0</v>
      </c>
      <c r="E5" s="10" t="s">
        <v>134</v>
      </c>
      <c r="F5" s="16">
        <v>1256.0</v>
      </c>
      <c r="G5" s="16">
        <v>5730.0</v>
      </c>
      <c r="I5" s="32"/>
      <c r="L5" s="32"/>
    </row>
    <row r="6">
      <c r="A6" s="5">
        <v>1.0</v>
      </c>
      <c r="B6" s="5">
        <v>4.0</v>
      </c>
      <c r="C6" s="6" t="s">
        <v>10</v>
      </c>
      <c r="D6" s="2">
        <v>1.0</v>
      </c>
      <c r="E6" s="10" t="s">
        <v>135</v>
      </c>
      <c r="F6" s="16">
        <v>1245.0</v>
      </c>
      <c r="G6" s="16">
        <v>5249.0</v>
      </c>
    </row>
    <row r="7">
      <c r="A7" s="5">
        <v>1.0</v>
      </c>
      <c r="B7" s="5">
        <v>5.0</v>
      </c>
      <c r="C7" s="6" t="s">
        <v>11</v>
      </c>
      <c r="D7" s="2">
        <v>0.0</v>
      </c>
      <c r="F7" s="16"/>
      <c r="G7" s="16"/>
    </row>
    <row r="8">
      <c r="A8" s="5">
        <v>2.0</v>
      </c>
      <c r="B8" s="5">
        <v>6.0</v>
      </c>
      <c r="C8" s="6" t="s">
        <v>12</v>
      </c>
      <c r="D8" s="2">
        <v>2.0</v>
      </c>
      <c r="E8" s="10" t="s">
        <v>136</v>
      </c>
      <c r="F8" s="16">
        <v>119770.0</v>
      </c>
      <c r="G8" s="16">
        <v>10777.0</v>
      </c>
      <c r="H8" s="10" t="s">
        <v>137</v>
      </c>
      <c r="I8" s="16">
        <v>5040.0</v>
      </c>
      <c r="J8" s="16">
        <v>7238.0</v>
      </c>
    </row>
    <row r="9">
      <c r="A9" s="5">
        <v>2.0</v>
      </c>
      <c r="B9" s="5">
        <v>7.0</v>
      </c>
      <c r="C9" s="6" t="s">
        <v>13</v>
      </c>
      <c r="D9" s="2">
        <v>0.0</v>
      </c>
      <c r="F9" s="16"/>
      <c r="G9" s="16"/>
      <c r="I9" s="32"/>
    </row>
    <row r="10">
      <c r="A10" s="5">
        <v>2.0</v>
      </c>
      <c r="B10" s="5">
        <v>8.0</v>
      </c>
      <c r="C10" s="6" t="s">
        <v>14</v>
      </c>
      <c r="D10" s="2">
        <v>4.0</v>
      </c>
      <c r="E10" s="10" t="s">
        <v>138</v>
      </c>
      <c r="F10" s="16">
        <v>23106.0</v>
      </c>
      <c r="G10" s="16">
        <v>22080.0</v>
      </c>
      <c r="H10" s="10" t="s">
        <v>139</v>
      </c>
      <c r="I10" s="16">
        <v>6577.0</v>
      </c>
      <c r="J10" s="16">
        <v>19379.0</v>
      </c>
      <c r="K10" s="10" t="s">
        <v>140</v>
      </c>
      <c r="L10" s="16">
        <v>17244.0</v>
      </c>
      <c r="M10" s="16">
        <v>5322.0</v>
      </c>
      <c r="N10" s="10" t="s">
        <v>130</v>
      </c>
      <c r="O10" s="16">
        <v>105597.0</v>
      </c>
      <c r="P10" s="16">
        <v>213651.0</v>
      </c>
    </row>
    <row r="11">
      <c r="A11" s="5">
        <v>2.0</v>
      </c>
      <c r="B11" s="5">
        <v>9.0</v>
      </c>
      <c r="C11" s="6" t="s">
        <v>15</v>
      </c>
      <c r="D11" s="2">
        <v>2.0</v>
      </c>
      <c r="E11" s="10" t="s">
        <v>141</v>
      </c>
      <c r="F11" s="16">
        <v>1994.0</v>
      </c>
      <c r="G11" s="16">
        <v>5985.0</v>
      </c>
      <c r="H11" s="10" t="s">
        <v>142</v>
      </c>
      <c r="I11" s="16">
        <v>11055.0</v>
      </c>
      <c r="J11" s="16">
        <v>5432.0</v>
      </c>
      <c r="L11" s="32"/>
      <c r="O11" s="33"/>
    </row>
    <row r="12">
      <c r="A12" s="5">
        <v>2.0</v>
      </c>
      <c r="B12" s="5">
        <v>10.0</v>
      </c>
      <c r="C12" s="6" t="s">
        <v>16</v>
      </c>
      <c r="D12" s="2">
        <v>5.0</v>
      </c>
      <c r="E12" s="10" t="s">
        <v>143</v>
      </c>
      <c r="F12" s="16">
        <v>26342.0</v>
      </c>
      <c r="G12" s="16">
        <v>128279.0</v>
      </c>
      <c r="H12" s="10" t="s">
        <v>144</v>
      </c>
      <c r="I12" s="16">
        <v>14030.0</v>
      </c>
      <c r="J12" s="16">
        <v>16326.0</v>
      </c>
      <c r="K12" s="10" t="s">
        <v>145</v>
      </c>
      <c r="L12" s="13">
        <v>6976.0</v>
      </c>
      <c r="M12" s="16">
        <v>16140.0</v>
      </c>
      <c r="N12" s="10" t="s">
        <v>146</v>
      </c>
      <c r="O12" s="16">
        <v>6642.0</v>
      </c>
      <c r="P12" s="16">
        <v>15803.0</v>
      </c>
      <c r="Q12" s="10" t="s">
        <v>147</v>
      </c>
      <c r="R12" s="16">
        <v>2947.0</v>
      </c>
      <c r="S12" s="16">
        <v>6695.0</v>
      </c>
    </row>
    <row r="13">
      <c r="A13" s="5">
        <v>3.0</v>
      </c>
      <c r="B13" s="5">
        <v>11.0</v>
      </c>
      <c r="C13" s="6" t="s">
        <v>17</v>
      </c>
      <c r="D13" s="2">
        <v>3.0</v>
      </c>
      <c r="E13" s="10" t="s">
        <v>148</v>
      </c>
      <c r="F13" s="16">
        <v>9505.0</v>
      </c>
      <c r="G13" s="16">
        <v>76235.0</v>
      </c>
      <c r="H13" s="10" t="s">
        <v>149</v>
      </c>
      <c r="I13" s="34"/>
      <c r="J13" s="16">
        <v>69569.0</v>
      </c>
      <c r="K13" s="10" t="s">
        <v>150</v>
      </c>
      <c r="L13" s="16">
        <v>4388.0</v>
      </c>
      <c r="M13" s="16">
        <v>28899.0</v>
      </c>
      <c r="O13" s="32"/>
      <c r="R13" s="32"/>
    </row>
    <row r="14">
      <c r="A14" s="5">
        <v>3.0</v>
      </c>
      <c r="B14" s="5">
        <v>12.0</v>
      </c>
      <c r="C14" s="6" t="s">
        <v>18</v>
      </c>
      <c r="D14" s="2">
        <v>1.0</v>
      </c>
      <c r="E14" s="10" t="s">
        <v>151</v>
      </c>
      <c r="F14" s="16">
        <v>3851.0</v>
      </c>
      <c r="G14" s="16">
        <v>28390.0</v>
      </c>
    </row>
    <row r="15">
      <c r="A15" s="5">
        <v>3.0</v>
      </c>
      <c r="B15" s="5">
        <v>13.0</v>
      </c>
      <c r="C15" s="6" t="s">
        <v>19</v>
      </c>
      <c r="D15" s="2">
        <v>3.0</v>
      </c>
      <c r="E15" s="10" t="s">
        <v>152</v>
      </c>
      <c r="F15" s="16">
        <v>3264.0</v>
      </c>
      <c r="G15" s="16">
        <v>5259.0</v>
      </c>
      <c r="H15" s="10" t="s">
        <v>153</v>
      </c>
      <c r="I15" s="16">
        <v>1640.0</v>
      </c>
      <c r="J15" s="16">
        <v>4429.0</v>
      </c>
      <c r="K15" s="10" t="s">
        <v>154</v>
      </c>
      <c r="L15" s="16">
        <v>2649.0</v>
      </c>
      <c r="M15" s="16">
        <v>2501.0</v>
      </c>
    </row>
    <row r="16">
      <c r="A16" s="5">
        <v>3.0</v>
      </c>
      <c r="B16" s="5">
        <v>14.0</v>
      </c>
      <c r="C16" s="6" t="s">
        <v>20</v>
      </c>
      <c r="D16" s="2">
        <v>3.0</v>
      </c>
      <c r="E16" s="10" t="s">
        <v>155</v>
      </c>
      <c r="F16" s="16">
        <v>349.0</v>
      </c>
      <c r="G16" s="16">
        <v>3489.0</v>
      </c>
      <c r="H16" s="10" t="s">
        <v>156</v>
      </c>
      <c r="I16" s="16">
        <v>2356.0</v>
      </c>
      <c r="J16" s="16">
        <v>4011.0</v>
      </c>
      <c r="K16" s="10" t="s">
        <v>157</v>
      </c>
      <c r="L16" s="34"/>
      <c r="M16" s="16">
        <v>1888.0</v>
      </c>
    </row>
    <row r="17">
      <c r="A17" s="5">
        <v>3.0</v>
      </c>
      <c r="B17" s="5">
        <v>15.0</v>
      </c>
      <c r="C17" s="6" t="s">
        <v>21</v>
      </c>
      <c r="D17" s="2">
        <v>2.0</v>
      </c>
      <c r="E17" s="10" t="s">
        <v>158</v>
      </c>
      <c r="F17" s="16">
        <v>1923.0</v>
      </c>
      <c r="G17" s="16">
        <v>7770.0</v>
      </c>
      <c r="H17" s="10" t="s">
        <v>159</v>
      </c>
      <c r="I17" s="16">
        <v>2091.0</v>
      </c>
      <c r="J17" s="16">
        <v>6703.0</v>
      </c>
      <c r="L17" s="32"/>
    </row>
    <row r="18">
      <c r="A18" s="5">
        <v>4.0</v>
      </c>
      <c r="B18" s="5">
        <v>16.0</v>
      </c>
      <c r="C18" s="6" t="s">
        <v>22</v>
      </c>
      <c r="D18" s="2">
        <v>8.0</v>
      </c>
      <c r="E18" s="10" t="s">
        <v>160</v>
      </c>
      <c r="F18" s="16">
        <v>5643.0</v>
      </c>
      <c r="G18" s="16">
        <v>11791.0</v>
      </c>
      <c r="H18" s="10" t="s">
        <v>161</v>
      </c>
      <c r="I18" s="16">
        <v>4355.0</v>
      </c>
      <c r="J18" s="16">
        <v>11406.0</v>
      </c>
      <c r="K18" s="10" t="s">
        <v>162</v>
      </c>
      <c r="L18" s="16">
        <v>2248.0</v>
      </c>
      <c r="M18" s="16">
        <v>6960.0</v>
      </c>
      <c r="N18" s="10" t="s">
        <v>163</v>
      </c>
      <c r="O18" s="16">
        <v>1721.0</v>
      </c>
      <c r="P18" s="16">
        <v>6055.0</v>
      </c>
      <c r="Q18" s="10" t="s">
        <v>164</v>
      </c>
      <c r="R18" s="16">
        <v>1405.0</v>
      </c>
      <c r="S18" s="16">
        <v>5283.0</v>
      </c>
      <c r="T18" s="10" t="s">
        <v>165</v>
      </c>
      <c r="U18" s="16">
        <v>1812.0</v>
      </c>
      <c r="V18" s="16">
        <v>5190.0</v>
      </c>
      <c r="W18" s="10" t="s">
        <v>166</v>
      </c>
      <c r="X18" s="16">
        <v>2806.0</v>
      </c>
      <c r="Y18" s="16">
        <v>2249.0</v>
      </c>
      <c r="Z18" s="10" t="s">
        <v>167</v>
      </c>
      <c r="AA18" s="16">
        <v>1816.0</v>
      </c>
      <c r="AB18" s="16">
        <v>4837.0</v>
      </c>
    </row>
    <row r="19">
      <c r="A19" s="5">
        <v>4.0</v>
      </c>
      <c r="B19" s="5">
        <v>17.0</v>
      </c>
      <c r="C19" s="6" t="s">
        <v>23</v>
      </c>
      <c r="D19" s="2">
        <v>3.0</v>
      </c>
      <c r="E19" s="10" t="s">
        <v>168</v>
      </c>
      <c r="F19" s="16">
        <v>2660.0</v>
      </c>
      <c r="G19" s="16">
        <v>9406.0</v>
      </c>
      <c r="H19" s="10" t="s">
        <v>169</v>
      </c>
      <c r="I19" s="21">
        <v>315.0</v>
      </c>
      <c r="J19" s="16">
        <v>4357.0</v>
      </c>
      <c r="K19" s="10" t="s">
        <v>170</v>
      </c>
      <c r="L19" s="16">
        <v>2244.0</v>
      </c>
      <c r="M19" s="16">
        <v>3094.0</v>
      </c>
      <c r="O19" s="32"/>
      <c r="R19" s="32"/>
      <c r="U19" s="32"/>
      <c r="X19" s="32"/>
      <c r="AA19" s="32"/>
    </row>
    <row r="20">
      <c r="A20" s="5">
        <v>4.0</v>
      </c>
      <c r="B20" s="5">
        <v>18.0</v>
      </c>
      <c r="C20" s="6" t="s">
        <v>24</v>
      </c>
      <c r="D20" s="2">
        <v>0.0</v>
      </c>
      <c r="F20" s="32"/>
      <c r="I20" s="32"/>
      <c r="L20" s="32"/>
    </row>
  </sheetData>
  <hyperlinks>
    <hyperlink r:id="rId1" ref="E3"/>
    <hyperlink r:id="rId2" ref="E4"/>
    <hyperlink r:id="rId3" ref="H4"/>
    <hyperlink r:id="rId4" ref="K4"/>
    <hyperlink r:id="rId5" ref="E5"/>
    <hyperlink r:id="rId6" ref="E6"/>
    <hyperlink r:id="rId7" ref="E8"/>
    <hyperlink r:id="rId8" ref="H8"/>
    <hyperlink r:id="rId9" ref="E10"/>
    <hyperlink r:id="rId10" ref="H10"/>
    <hyperlink r:id="rId11" ref="K10"/>
    <hyperlink r:id="rId12" ref="N10"/>
    <hyperlink r:id="rId13" ref="E11"/>
    <hyperlink r:id="rId14" ref="H11"/>
    <hyperlink r:id="rId15" ref="E12"/>
    <hyperlink r:id="rId16" ref="H12"/>
    <hyperlink r:id="rId17" ref="K12"/>
    <hyperlink r:id="rId18" ref="N12"/>
    <hyperlink r:id="rId19" ref="Q12"/>
    <hyperlink r:id="rId20" ref="E13"/>
    <hyperlink r:id="rId21" ref="H13"/>
    <hyperlink r:id="rId22" ref="K13"/>
    <hyperlink r:id="rId23" ref="E14"/>
    <hyperlink r:id="rId24" ref="E15"/>
    <hyperlink r:id="rId25" ref="H15"/>
    <hyperlink r:id="rId26" ref="K15"/>
    <hyperlink r:id="rId27" ref="E16"/>
    <hyperlink r:id="rId28" ref="H16"/>
    <hyperlink r:id="rId29" ref="K16"/>
    <hyperlink r:id="rId30" ref="E17"/>
    <hyperlink r:id="rId31" ref="H17"/>
    <hyperlink r:id="rId32" ref="E18"/>
    <hyperlink r:id="rId33" ref="H18"/>
    <hyperlink r:id="rId34" ref="K18"/>
    <hyperlink r:id="rId35" ref="N18"/>
    <hyperlink r:id="rId36" ref="Q18"/>
    <hyperlink r:id="rId37" ref="T18"/>
    <hyperlink r:id="rId38" ref="W18"/>
    <hyperlink r:id="rId39" ref="Z18"/>
    <hyperlink r:id="rId40" ref="E19"/>
    <hyperlink r:id="rId41" ref="H19"/>
    <hyperlink r:id="rId42" ref="K19"/>
  </hyperlinks>
  <drawing r:id="rId4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38"/>
    <col customWidth="1" min="3" max="3" width="22.13"/>
    <col customWidth="1" min="4" max="4" width="15.25"/>
    <col customWidth="1" min="5" max="5" width="5.38"/>
  </cols>
  <sheetData>
    <row r="1">
      <c r="A1" s="1" t="s">
        <v>3</v>
      </c>
      <c r="B1" s="1" t="s">
        <v>4</v>
      </c>
      <c r="C1" s="1" t="s">
        <v>5</v>
      </c>
      <c r="D1" s="1" t="s">
        <v>171</v>
      </c>
      <c r="E1" s="1" t="s">
        <v>51</v>
      </c>
    </row>
    <row r="2">
      <c r="A2" s="4">
        <v>0.0</v>
      </c>
      <c r="B2" s="5">
        <v>0.0</v>
      </c>
      <c r="C2" s="6" t="s">
        <v>6</v>
      </c>
    </row>
    <row r="3">
      <c r="A3" s="5">
        <v>1.0</v>
      </c>
      <c r="B3" s="5">
        <v>1.0</v>
      </c>
      <c r="C3" s="6" t="s">
        <v>7</v>
      </c>
      <c r="D3" s="10" t="s">
        <v>172</v>
      </c>
      <c r="E3" s="2">
        <v>1534.0</v>
      </c>
    </row>
    <row r="4">
      <c r="A4" s="5">
        <v>1.0</v>
      </c>
      <c r="B4" s="5">
        <v>2.0</v>
      </c>
      <c r="C4" s="6" t="s">
        <v>8</v>
      </c>
      <c r="D4" s="10" t="s">
        <v>173</v>
      </c>
      <c r="E4" s="2">
        <v>195.0</v>
      </c>
    </row>
    <row r="5">
      <c r="A5" s="5">
        <v>1.0</v>
      </c>
      <c r="B5" s="5">
        <v>3.0</v>
      </c>
      <c r="C5" s="6" t="s">
        <v>9</v>
      </c>
      <c r="D5" s="10" t="s">
        <v>174</v>
      </c>
      <c r="E5" s="2">
        <v>433.0</v>
      </c>
    </row>
    <row r="6">
      <c r="A6" s="5">
        <v>1.0</v>
      </c>
      <c r="B6" s="5">
        <v>4.0</v>
      </c>
      <c r="C6" s="6" t="s">
        <v>10</v>
      </c>
      <c r="D6" s="10" t="s">
        <v>175</v>
      </c>
      <c r="E6" s="2">
        <v>150.0</v>
      </c>
    </row>
    <row r="7">
      <c r="A7" s="5">
        <v>1.0</v>
      </c>
      <c r="B7" s="5">
        <v>5.0</v>
      </c>
      <c r="C7" s="6" t="s">
        <v>11</v>
      </c>
      <c r="D7" s="10" t="s">
        <v>176</v>
      </c>
      <c r="E7" s="2">
        <v>382.0</v>
      </c>
    </row>
    <row r="8">
      <c r="A8" s="5">
        <v>2.0</v>
      </c>
      <c r="B8" s="5">
        <v>6.0</v>
      </c>
      <c r="C8" s="6" t="s">
        <v>12</v>
      </c>
      <c r="D8" s="10" t="s">
        <v>177</v>
      </c>
      <c r="E8" s="2">
        <v>227.0</v>
      </c>
    </row>
    <row r="9">
      <c r="A9" s="5">
        <v>2.0</v>
      </c>
      <c r="B9" s="5">
        <v>7.0</v>
      </c>
      <c r="C9" s="6" t="s">
        <v>13</v>
      </c>
      <c r="D9" s="10" t="s">
        <v>178</v>
      </c>
      <c r="E9" s="2">
        <v>246.0</v>
      </c>
    </row>
    <row r="10">
      <c r="A10" s="5">
        <v>2.0</v>
      </c>
      <c r="B10" s="5">
        <v>8.0</v>
      </c>
      <c r="C10" s="6" t="s">
        <v>14</v>
      </c>
      <c r="D10" s="10" t="s">
        <v>179</v>
      </c>
      <c r="E10" s="2">
        <v>622.0</v>
      </c>
    </row>
    <row r="11">
      <c r="A11" s="5">
        <v>2.0</v>
      </c>
      <c r="B11" s="5">
        <v>9.0</v>
      </c>
      <c r="C11" s="6" t="s">
        <v>15</v>
      </c>
      <c r="D11" s="10" t="s">
        <v>180</v>
      </c>
      <c r="E11" s="2">
        <v>206.0</v>
      </c>
    </row>
    <row r="12">
      <c r="A12" s="5">
        <v>2.0</v>
      </c>
      <c r="B12" s="5">
        <v>10.0</v>
      </c>
      <c r="C12" s="6" t="s">
        <v>16</v>
      </c>
      <c r="D12" s="10" t="s">
        <v>181</v>
      </c>
      <c r="E12" s="2">
        <v>223.0</v>
      </c>
    </row>
    <row r="13">
      <c r="A13" s="5">
        <v>3.0</v>
      </c>
      <c r="B13" s="5">
        <v>11.0</v>
      </c>
      <c r="C13" s="6" t="s">
        <v>17</v>
      </c>
      <c r="D13" s="10" t="s">
        <v>182</v>
      </c>
      <c r="E13" s="2">
        <v>114.0</v>
      </c>
    </row>
    <row r="14">
      <c r="A14" s="5">
        <v>3.0</v>
      </c>
      <c r="B14" s="5">
        <v>12.0</v>
      </c>
      <c r="C14" s="6" t="s">
        <v>18</v>
      </c>
      <c r="D14" s="29" t="s">
        <v>183</v>
      </c>
      <c r="E14" s="2">
        <v>163.0</v>
      </c>
    </row>
    <row r="15">
      <c r="A15" s="5">
        <v>3.0</v>
      </c>
      <c r="B15" s="5">
        <v>13.0</v>
      </c>
      <c r="C15" s="6" t="s">
        <v>19</v>
      </c>
      <c r="D15" s="10" t="s">
        <v>184</v>
      </c>
      <c r="E15" s="2">
        <v>124.0</v>
      </c>
    </row>
    <row r="16">
      <c r="A16" s="5">
        <v>3.0</v>
      </c>
      <c r="B16" s="5">
        <v>14.0</v>
      </c>
      <c r="C16" s="6" t="s">
        <v>20</v>
      </c>
      <c r="D16" s="10" t="s">
        <v>185</v>
      </c>
      <c r="E16" s="2">
        <v>138.0</v>
      </c>
    </row>
    <row r="17">
      <c r="A17" s="5">
        <v>3.0</v>
      </c>
      <c r="B17" s="5">
        <v>15.0</v>
      </c>
      <c r="C17" s="6" t="s">
        <v>21</v>
      </c>
      <c r="D17" s="10" t="s">
        <v>186</v>
      </c>
      <c r="E17" s="2">
        <v>288.0</v>
      </c>
    </row>
    <row r="18">
      <c r="A18" s="5">
        <v>4.0</v>
      </c>
      <c r="B18" s="5">
        <v>16.0</v>
      </c>
      <c r="C18" s="6" t="s">
        <v>22</v>
      </c>
      <c r="D18" s="10" t="s">
        <v>187</v>
      </c>
      <c r="E18" s="2">
        <v>86.0</v>
      </c>
    </row>
    <row r="19">
      <c r="A19" s="5">
        <v>4.0</v>
      </c>
      <c r="B19" s="5">
        <v>17.0</v>
      </c>
      <c r="C19" s="6" t="s">
        <v>23</v>
      </c>
      <c r="D19" s="10" t="s">
        <v>188</v>
      </c>
      <c r="E19" s="2">
        <v>49.0</v>
      </c>
    </row>
    <row r="20">
      <c r="A20" s="5">
        <v>4.0</v>
      </c>
      <c r="B20" s="5">
        <v>18.0</v>
      </c>
      <c r="C20" s="28" t="s">
        <v>101</v>
      </c>
      <c r="D20" s="10" t="s">
        <v>189</v>
      </c>
    </row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</hyperlinks>
  <drawing r:id="rId1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8.13"/>
    <col customWidth="1" min="4" max="4" width="9.5"/>
    <col customWidth="1" min="5" max="5" width="7.75"/>
    <col customWidth="1" min="6" max="6" width="15.5"/>
    <col customWidth="1" min="7" max="7" width="13.5"/>
    <col customWidth="1" min="8" max="8" width="12.38"/>
  </cols>
  <sheetData>
    <row r="1">
      <c r="A1" s="1" t="s">
        <v>3</v>
      </c>
      <c r="B1" s="1" t="s">
        <v>4</v>
      </c>
      <c r="C1" s="1" t="s">
        <v>5</v>
      </c>
      <c r="D1" s="1" t="s">
        <v>190</v>
      </c>
      <c r="E1" s="1" t="s">
        <v>191</v>
      </c>
      <c r="F1" s="35" t="s">
        <v>192</v>
      </c>
      <c r="G1" s="1" t="s">
        <v>193</v>
      </c>
      <c r="H1" s="1" t="s">
        <v>194</v>
      </c>
      <c r="I1" s="1" t="s">
        <v>195</v>
      </c>
      <c r="J1" s="1" t="s">
        <v>196</v>
      </c>
      <c r="K1" s="1" t="s">
        <v>197</v>
      </c>
      <c r="L1" s="1" t="s">
        <v>198</v>
      </c>
      <c r="M1" s="1" t="s">
        <v>199</v>
      </c>
      <c r="N1" s="1" t="s">
        <v>200</v>
      </c>
    </row>
    <row r="2">
      <c r="A2" s="4">
        <v>0.0</v>
      </c>
      <c r="B2" s="5">
        <v>0.0</v>
      </c>
      <c r="C2" s="6" t="s">
        <v>6</v>
      </c>
      <c r="E2" s="36">
        <f>1</f>
        <v>1</v>
      </c>
      <c r="F2" s="37">
        <f t="shared" ref="F2:F20" si="1">G2/E2</f>
        <v>665</v>
      </c>
      <c r="G2" s="36">
        <f t="shared" ref="G2:G20" si="2">sum(H2:L2)</f>
        <v>665</v>
      </c>
      <c r="H2" s="36">
        <v>665.0</v>
      </c>
    </row>
    <row r="3">
      <c r="A3" s="5">
        <v>1.0</v>
      </c>
      <c r="B3" s="5">
        <v>1.0</v>
      </c>
      <c r="C3" s="6" t="s">
        <v>7</v>
      </c>
      <c r="E3" s="36">
        <v>1.0</v>
      </c>
      <c r="F3" s="37">
        <f t="shared" si="1"/>
        <v>779</v>
      </c>
      <c r="G3" s="36">
        <f t="shared" si="2"/>
        <v>779</v>
      </c>
      <c r="H3" s="38">
        <v>779.0</v>
      </c>
    </row>
    <row r="4">
      <c r="A4" s="5">
        <v>1.0</v>
      </c>
      <c r="B4" s="5">
        <v>2.0</v>
      </c>
      <c r="C4" s="6" t="s">
        <v>8</v>
      </c>
      <c r="E4" s="38">
        <v>6.0</v>
      </c>
      <c r="F4" s="37">
        <f t="shared" si="1"/>
        <v>23748</v>
      </c>
      <c r="G4" s="36">
        <f t="shared" si="2"/>
        <v>142488</v>
      </c>
      <c r="H4" s="38">
        <v>74500.0</v>
      </c>
      <c r="I4" s="7">
        <f>3255</f>
        <v>3255</v>
      </c>
      <c r="J4" s="2">
        <v>1341.0</v>
      </c>
      <c r="K4" s="2">
        <v>792.0</v>
      </c>
      <c r="L4" s="2">
        <v>62600.0</v>
      </c>
      <c r="M4" s="2">
        <v>1200.0</v>
      </c>
    </row>
    <row r="5">
      <c r="A5" s="5">
        <v>1.0</v>
      </c>
      <c r="B5" s="5">
        <v>3.0</v>
      </c>
      <c r="C5" s="6" t="s">
        <v>9</v>
      </c>
      <c r="E5" s="36">
        <v>1.0</v>
      </c>
      <c r="F5" s="37">
        <f t="shared" si="1"/>
        <v>1426</v>
      </c>
      <c r="G5" s="36">
        <f t="shared" si="2"/>
        <v>1426</v>
      </c>
      <c r="H5" s="38">
        <v>1426.0</v>
      </c>
    </row>
    <row r="6">
      <c r="A6" s="5">
        <v>1.0</v>
      </c>
      <c r="B6" s="5">
        <v>4.0</v>
      </c>
      <c r="C6" s="6" t="s">
        <v>10</v>
      </c>
      <c r="E6" s="36">
        <v>1.0</v>
      </c>
      <c r="F6" s="37">
        <f t="shared" si="1"/>
        <v>1327</v>
      </c>
      <c r="G6" s="36">
        <f t="shared" si="2"/>
        <v>1327</v>
      </c>
      <c r="H6" s="38">
        <v>1327.0</v>
      </c>
    </row>
    <row r="7">
      <c r="A7" s="5">
        <v>1.0</v>
      </c>
      <c r="B7" s="5">
        <v>5.0</v>
      </c>
      <c r="C7" s="6" t="s">
        <v>11</v>
      </c>
      <c r="E7" s="28">
        <v>0.0</v>
      </c>
      <c r="F7" s="37" t="str">
        <f t="shared" si="1"/>
        <v>#DIV/0!</v>
      </c>
      <c r="G7" s="36">
        <f t="shared" si="2"/>
        <v>0</v>
      </c>
      <c r="H7" s="36">
        <v>0.0</v>
      </c>
    </row>
    <row r="8">
      <c r="A8" s="5">
        <v>2.0</v>
      </c>
      <c r="B8" s="5">
        <v>6.0</v>
      </c>
      <c r="C8" s="6" t="s">
        <v>12</v>
      </c>
      <c r="E8" s="36">
        <v>6.0</v>
      </c>
      <c r="F8" s="37">
        <f t="shared" si="1"/>
        <v>5058.666667</v>
      </c>
      <c r="G8" s="36">
        <f t="shared" si="2"/>
        <v>30352</v>
      </c>
      <c r="H8" s="38">
        <v>659.0</v>
      </c>
      <c r="I8" s="2">
        <v>675.0</v>
      </c>
      <c r="J8" s="2">
        <v>1183.0</v>
      </c>
      <c r="K8" s="2">
        <v>26600.0</v>
      </c>
      <c r="L8" s="2">
        <v>1235.0</v>
      </c>
      <c r="M8" s="2">
        <v>763.0</v>
      </c>
    </row>
    <row r="9">
      <c r="A9" s="5">
        <v>2.0</v>
      </c>
      <c r="B9" s="5">
        <v>7.0</v>
      </c>
      <c r="C9" s="6" t="s">
        <v>13</v>
      </c>
      <c r="E9" s="28">
        <v>0.0</v>
      </c>
      <c r="F9" s="37" t="str">
        <f t="shared" si="1"/>
        <v>#DIV/0!</v>
      </c>
      <c r="G9" s="36">
        <f t="shared" si="2"/>
        <v>0</v>
      </c>
      <c r="H9" s="36">
        <v>0.0</v>
      </c>
    </row>
    <row r="10">
      <c r="A10" s="5">
        <v>2.0</v>
      </c>
      <c r="B10" s="5">
        <v>8.0</v>
      </c>
      <c r="C10" s="6" t="s">
        <v>14</v>
      </c>
      <c r="E10" s="36">
        <v>2.0</v>
      </c>
      <c r="F10" s="37">
        <f t="shared" si="1"/>
        <v>4191.5</v>
      </c>
      <c r="G10" s="36">
        <f t="shared" si="2"/>
        <v>8383</v>
      </c>
      <c r="H10" s="38">
        <v>6536.0</v>
      </c>
      <c r="I10" s="2">
        <v>1847.0</v>
      </c>
    </row>
    <row r="11">
      <c r="A11" s="5">
        <v>2.0</v>
      </c>
      <c r="B11" s="5">
        <v>9.0</v>
      </c>
      <c r="C11" s="6" t="s">
        <v>15</v>
      </c>
      <c r="E11" s="28">
        <v>0.0</v>
      </c>
      <c r="F11" s="37" t="str">
        <f t="shared" si="1"/>
        <v>#DIV/0!</v>
      </c>
      <c r="G11" s="36">
        <f t="shared" si="2"/>
        <v>0</v>
      </c>
      <c r="H11" s="36">
        <v>0.0</v>
      </c>
    </row>
    <row r="12">
      <c r="A12" s="5">
        <v>2.0</v>
      </c>
      <c r="B12" s="5">
        <v>10.0</v>
      </c>
      <c r="C12" s="6" t="s">
        <v>16</v>
      </c>
      <c r="E12" s="38">
        <v>4.0</v>
      </c>
      <c r="F12" s="37">
        <f t="shared" si="1"/>
        <v>4054.25</v>
      </c>
      <c r="G12" s="36">
        <f t="shared" si="2"/>
        <v>16217</v>
      </c>
      <c r="H12" s="38">
        <v>692.0</v>
      </c>
      <c r="I12" s="2">
        <v>14600.0</v>
      </c>
      <c r="J12" s="2">
        <v>495.0</v>
      </c>
      <c r="K12" s="2">
        <v>430.0</v>
      </c>
    </row>
    <row r="13">
      <c r="A13" s="5">
        <v>3.0</v>
      </c>
      <c r="B13" s="5">
        <v>11.0</v>
      </c>
      <c r="C13" s="6" t="s">
        <v>17</v>
      </c>
      <c r="E13" s="36">
        <v>4.0</v>
      </c>
      <c r="F13" s="37">
        <f t="shared" si="1"/>
        <v>564.25</v>
      </c>
      <c r="G13" s="36">
        <f t="shared" si="2"/>
        <v>2257</v>
      </c>
      <c r="H13" s="38">
        <v>776.0</v>
      </c>
      <c r="I13" s="2">
        <v>477.0</v>
      </c>
      <c r="J13" s="2">
        <v>441.0</v>
      </c>
      <c r="K13" s="2">
        <v>563.0</v>
      </c>
    </row>
    <row r="14">
      <c r="A14" s="5">
        <v>3.0</v>
      </c>
      <c r="B14" s="5">
        <v>12.0</v>
      </c>
      <c r="C14" s="6" t="s">
        <v>18</v>
      </c>
      <c r="E14" s="28">
        <v>0.0</v>
      </c>
      <c r="F14" s="37" t="str">
        <f t="shared" si="1"/>
        <v>#DIV/0!</v>
      </c>
      <c r="G14" s="36">
        <f t="shared" si="2"/>
        <v>0</v>
      </c>
      <c r="H14" s="36">
        <v>0.0</v>
      </c>
    </row>
    <row r="15">
      <c r="A15" s="5">
        <v>3.0</v>
      </c>
      <c r="B15" s="5">
        <v>13.0</v>
      </c>
      <c r="C15" s="6" t="s">
        <v>19</v>
      </c>
      <c r="E15" s="38">
        <v>4.0</v>
      </c>
      <c r="F15" s="37">
        <f t="shared" si="1"/>
        <v>775</v>
      </c>
      <c r="G15" s="36">
        <f t="shared" si="2"/>
        <v>3100</v>
      </c>
      <c r="H15" s="38">
        <v>474.0</v>
      </c>
      <c r="I15" s="2">
        <v>475.0</v>
      </c>
      <c r="J15" s="2">
        <v>785.0</v>
      </c>
      <c r="K15" s="2">
        <v>1366.0</v>
      </c>
    </row>
    <row r="16">
      <c r="A16" s="5">
        <v>3.0</v>
      </c>
      <c r="B16" s="5">
        <v>14.0</v>
      </c>
      <c r="C16" s="6" t="s">
        <v>20</v>
      </c>
      <c r="E16" s="36">
        <v>2.0</v>
      </c>
      <c r="F16" s="37">
        <f t="shared" si="1"/>
        <v>1178</v>
      </c>
      <c r="G16" s="36">
        <f t="shared" si="2"/>
        <v>2356</v>
      </c>
      <c r="H16" s="38">
        <v>1045.0</v>
      </c>
      <c r="I16" s="2">
        <v>1311.0</v>
      </c>
    </row>
    <row r="17">
      <c r="A17" s="5">
        <v>3.0</v>
      </c>
      <c r="B17" s="5">
        <v>15.0</v>
      </c>
      <c r="C17" s="6" t="s">
        <v>21</v>
      </c>
      <c r="E17" s="38">
        <v>3.0</v>
      </c>
      <c r="F17" s="37">
        <f t="shared" si="1"/>
        <v>938.6666667</v>
      </c>
      <c r="G17" s="36">
        <f t="shared" si="2"/>
        <v>2816</v>
      </c>
      <c r="H17" s="38">
        <v>744.0</v>
      </c>
      <c r="I17" s="2">
        <v>1155.0</v>
      </c>
      <c r="J17" s="2">
        <v>917.0</v>
      </c>
    </row>
    <row r="18">
      <c r="A18" s="5">
        <v>4.0</v>
      </c>
      <c r="B18" s="5">
        <v>16.0</v>
      </c>
      <c r="C18" s="6" t="s">
        <v>22</v>
      </c>
      <c r="E18" s="2">
        <v>7.0</v>
      </c>
      <c r="F18" s="37">
        <f t="shared" si="1"/>
        <v>518.8571429</v>
      </c>
      <c r="G18" s="36">
        <f t="shared" si="2"/>
        <v>3632</v>
      </c>
      <c r="H18" s="2">
        <v>902.0</v>
      </c>
      <c r="I18" s="2">
        <v>87.0</v>
      </c>
      <c r="J18" s="2">
        <v>1080.0</v>
      </c>
      <c r="K18" s="2">
        <v>104.0</v>
      </c>
      <c r="L18" s="2">
        <v>1459.0</v>
      </c>
      <c r="M18" s="2">
        <v>136.0</v>
      </c>
      <c r="N18" s="2">
        <v>1018.0</v>
      </c>
    </row>
    <row r="19">
      <c r="A19" s="5">
        <v>4.0</v>
      </c>
      <c r="B19" s="5">
        <v>17.0</v>
      </c>
      <c r="C19" s="6" t="s">
        <v>23</v>
      </c>
      <c r="E19" s="2">
        <v>2.0</v>
      </c>
      <c r="F19" s="37">
        <f t="shared" si="1"/>
        <v>871</v>
      </c>
      <c r="G19" s="36">
        <f t="shared" si="2"/>
        <v>1742</v>
      </c>
      <c r="H19" s="2">
        <v>1257.0</v>
      </c>
      <c r="I19" s="2">
        <v>485.0</v>
      </c>
    </row>
    <row r="20">
      <c r="A20" s="5">
        <v>4.0</v>
      </c>
      <c r="B20" s="5">
        <v>18.0</v>
      </c>
      <c r="C20" s="6" t="s">
        <v>24</v>
      </c>
      <c r="E20" s="2">
        <v>0.0</v>
      </c>
      <c r="F20" s="37" t="str">
        <f t="shared" si="1"/>
        <v>#DIV/0!</v>
      </c>
      <c r="G20" s="36">
        <f t="shared" si="2"/>
        <v>0</v>
      </c>
      <c r="H20" s="2">
        <v>0.0</v>
      </c>
    </row>
    <row r="21">
      <c r="F21" s="39"/>
    </row>
    <row r="22">
      <c r="F22" s="39"/>
    </row>
    <row r="23">
      <c r="F23" s="39"/>
    </row>
    <row r="24">
      <c r="F24" s="39"/>
    </row>
    <row r="25">
      <c r="F25" s="39"/>
    </row>
    <row r="26">
      <c r="F26" s="39"/>
    </row>
    <row r="27">
      <c r="F27" s="39"/>
    </row>
    <row r="28">
      <c r="F28" s="39"/>
    </row>
    <row r="29">
      <c r="F29" s="39"/>
    </row>
    <row r="30">
      <c r="F30" s="39"/>
    </row>
    <row r="31">
      <c r="F31" s="39"/>
    </row>
    <row r="32">
      <c r="F32" s="39"/>
    </row>
    <row r="33">
      <c r="F33" s="39"/>
    </row>
    <row r="34">
      <c r="F34" s="39"/>
    </row>
    <row r="35">
      <c r="F35" s="39"/>
    </row>
    <row r="36">
      <c r="F36" s="39"/>
    </row>
    <row r="37">
      <c r="F37" s="39"/>
    </row>
    <row r="38">
      <c r="F38" s="39"/>
    </row>
    <row r="39">
      <c r="F39" s="39"/>
    </row>
    <row r="40">
      <c r="F40" s="39"/>
    </row>
    <row r="41">
      <c r="F41" s="39"/>
    </row>
    <row r="42">
      <c r="F42" s="39"/>
    </row>
    <row r="43">
      <c r="F43" s="39"/>
    </row>
    <row r="44">
      <c r="F44" s="39"/>
    </row>
    <row r="45">
      <c r="F45" s="39"/>
    </row>
    <row r="46">
      <c r="F46" s="39"/>
    </row>
    <row r="47">
      <c r="F47" s="39"/>
    </row>
    <row r="48">
      <c r="F48" s="39"/>
    </row>
    <row r="49">
      <c r="F49" s="39"/>
    </row>
    <row r="50">
      <c r="F50" s="39"/>
    </row>
    <row r="51">
      <c r="F51" s="39"/>
    </row>
    <row r="52">
      <c r="F52" s="39"/>
    </row>
    <row r="53">
      <c r="F53" s="39"/>
    </row>
    <row r="54">
      <c r="F54" s="39"/>
    </row>
    <row r="55">
      <c r="F55" s="39"/>
    </row>
    <row r="56">
      <c r="F56" s="39"/>
    </row>
    <row r="57">
      <c r="F57" s="39"/>
    </row>
    <row r="58">
      <c r="F58" s="39"/>
    </row>
    <row r="59">
      <c r="F59" s="39"/>
    </row>
    <row r="60">
      <c r="F60" s="39"/>
    </row>
    <row r="61">
      <c r="F61" s="39"/>
    </row>
    <row r="62">
      <c r="F62" s="39"/>
    </row>
    <row r="63">
      <c r="F63" s="39"/>
    </row>
    <row r="64">
      <c r="F64" s="39"/>
    </row>
    <row r="65">
      <c r="F65" s="39"/>
    </row>
    <row r="66">
      <c r="F66" s="39"/>
    </row>
    <row r="67">
      <c r="F67" s="39"/>
    </row>
    <row r="68">
      <c r="F68" s="39"/>
    </row>
    <row r="69">
      <c r="F69" s="39"/>
    </row>
    <row r="70">
      <c r="F70" s="39"/>
    </row>
    <row r="71">
      <c r="F71" s="39"/>
    </row>
    <row r="72">
      <c r="F72" s="39"/>
    </row>
    <row r="73">
      <c r="F73" s="39"/>
    </row>
    <row r="74">
      <c r="F74" s="39"/>
    </row>
    <row r="75">
      <c r="F75" s="39"/>
    </row>
    <row r="76">
      <c r="F76" s="39"/>
    </row>
    <row r="77">
      <c r="F77" s="39"/>
    </row>
    <row r="78">
      <c r="F78" s="39"/>
    </row>
    <row r="79">
      <c r="F79" s="39"/>
    </row>
    <row r="80">
      <c r="F80" s="39"/>
    </row>
    <row r="81">
      <c r="F81" s="39"/>
    </row>
    <row r="82">
      <c r="F82" s="39"/>
    </row>
    <row r="83">
      <c r="F83" s="39"/>
    </row>
    <row r="84">
      <c r="F84" s="39"/>
    </row>
    <row r="85">
      <c r="F85" s="39"/>
    </row>
    <row r="86">
      <c r="F86" s="39"/>
    </row>
    <row r="87">
      <c r="F87" s="39"/>
    </row>
    <row r="88">
      <c r="F88" s="39"/>
    </row>
    <row r="89">
      <c r="F89" s="39"/>
    </row>
    <row r="90">
      <c r="F90" s="39"/>
    </row>
    <row r="91">
      <c r="F91" s="39"/>
    </row>
    <row r="92">
      <c r="F92" s="39"/>
    </row>
    <row r="93">
      <c r="F93" s="39"/>
    </row>
    <row r="94">
      <c r="F94" s="39"/>
    </row>
    <row r="95">
      <c r="F95" s="39"/>
    </row>
    <row r="96">
      <c r="F96" s="39"/>
    </row>
    <row r="97">
      <c r="F97" s="39"/>
    </row>
    <row r="98">
      <c r="F98" s="39"/>
    </row>
    <row r="99">
      <c r="F99" s="39"/>
    </row>
    <row r="100">
      <c r="F100" s="39"/>
    </row>
    <row r="101">
      <c r="F101" s="39"/>
    </row>
    <row r="102">
      <c r="F102" s="39"/>
    </row>
    <row r="103">
      <c r="F103" s="39"/>
    </row>
    <row r="104">
      <c r="F104" s="39"/>
    </row>
    <row r="105">
      <c r="F105" s="39"/>
    </row>
    <row r="106">
      <c r="F106" s="39"/>
    </row>
    <row r="107">
      <c r="F107" s="39"/>
    </row>
    <row r="108">
      <c r="F108" s="39"/>
    </row>
    <row r="109">
      <c r="F109" s="39"/>
    </row>
    <row r="110">
      <c r="F110" s="39"/>
    </row>
    <row r="111">
      <c r="F111" s="39"/>
    </row>
    <row r="112">
      <c r="F112" s="39"/>
    </row>
    <row r="113">
      <c r="F113" s="39"/>
    </row>
    <row r="114">
      <c r="F114" s="39"/>
    </row>
    <row r="115">
      <c r="F115" s="39"/>
    </row>
    <row r="116">
      <c r="F116" s="39"/>
    </row>
    <row r="117">
      <c r="F117" s="39"/>
    </row>
    <row r="118">
      <c r="F118" s="39"/>
    </row>
    <row r="119">
      <c r="F119" s="39"/>
    </row>
    <row r="120">
      <c r="F120" s="39"/>
    </row>
    <row r="121">
      <c r="F121" s="39"/>
    </row>
    <row r="122">
      <c r="F122" s="39"/>
    </row>
    <row r="123">
      <c r="F123" s="39"/>
    </row>
    <row r="124">
      <c r="F124" s="39"/>
    </row>
    <row r="125">
      <c r="F125" s="39"/>
    </row>
    <row r="126">
      <c r="F126" s="39"/>
    </row>
    <row r="127">
      <c r="F127" s="39"/>
    </row>
    <row r="128">
      <c r="F128" s="39"/>
    </row>
    <row r="129">
      <c r="F129" s="39"/>
    </row>
    <row r="130">
      <c r="F130" s="39"/>
    </row>
    <row r="131">
      <c r="F131" s="39"/>
    </row>
    <row r="132">
      <c r="F132" s="39"/>
    </row>
    <row r="133">
      <c r="F133" s="39"/>
    </row>
    <row r="134">
      <c r="F134" s="39"/>
    </row>
    <row r="135">
      <c r="F135" s="39"/>
    </row>
    <row r="136">
      <c r="F136" s="39"/>
    </row>
    <row r="137">
      <c r="F137" s="39"/>
    </row>
    <row r="138">
      <c r="F138" s="39"/>
    </row>
    <row r="139">
      <c r="F139" s="39"/>
    </row>
    <row r="140">
      <c r="F140" s="39"/>
    </row>
    <row r="141">
      <c r="F141" s="39"/>
    </row>
    <row r="142">
      <c r="F142" s="39"/>
    </row>
    <row r="143">
      <c r="F143" s="39"/>
    </row>
    <row r="144">
      <c r="F144" s="39"/>
    </row>
    <row r="145">
      <c r="F145" s="39"/>
    </row>
    <row r="146">
      <c r="F146" s="39"/>
    </row>
    <row r="147">
      <c r="F147" s="39"/>
    </row>
    <row r="148">
      <c r="F148" s="39"/>
    </row>
    <row r="149">
      <c r="F149" s="39"/>
    </row>
    <row r="150">
      <c r="F150" s="39"/>
    </row>
    <row r="151">
      <c r="F151" s="39"/>
    </row>
    <row r="152">
      <c r="F152" s="39"/>
    </row>
    <row r="153">
      <c r="F153" s="39"/>
    </row>
    <row r="154">
      <c r="F154" s="39"/>
    </row>
    <row r="155">
      <c r="F155" s="39"/>
    </row>
    <row r="156">
      <c r="F156" s="39"/>
    </row>
    <row r="157">
      <c r="F157" s="39"/>
    </row>
    <row r="158">
      <c r="F158" s="39"/>
    </row>
    <row r="159">
      <c r="F159" s="39"/>
    </row>
    <row r="160">
      <c r="F160" s="39"/>
    </row>
    <row r="161">
      <c r="F161" s="39"/>
    </row>
    <row r="162">
      <c r="F162" s="39"/>
    </row>
    <row r="163">
      <c r="F163" s="39"/>
    </row>
    <row r="164">
      <c r="F164" s="39"/>
    </row>
    <row r="165">
      <c r="F165" s="39"/>
    </row>
    <row r="166">
      <c r="F166" s="39"/>
    </row>
    <row r="167">
      <c r="F167" s="39"/>
    </row>
    <row r="168">
      <c r="F168" s="39"/>
    </row>
    <row r="169">
      <c r="F169" s="39"/>
    </row>
    <row r="170">
      <c r="F170" s="39"/>
    </row>
    <row r="171">
      <c r="F171" s="39"/>
    </row>
    <row r="172">
      <c r="F172" s="39"/>
    </row>
    <row r="173">
      <c r="F173" s="39"/>
    </row>
    <row r="174">
      <c r="F174" s="39"/>
    </row>
    <row r="175">
      <c r="F175" s="39"/>
    </row>
    <row r="176">
      <c r="F176" s="39"/>
    </row>
    <row r="177">
      <c r="F177" s="39"/>
    </row>
    <row r="178">
      <c r="F178" s="39"/>
    </row>
    <row r="179">
      <c r="F179" s="39"/>
    </row>
    <row r="180">
      <c r="F180" s="39"/>
    </row>
    <row r="181">
      <c r="F181" s="39"/>
    </row>
    <row r="182">
      <c r="F182" s="39"/>
    </row>
    <row r="183">
      <c r="F183" s="39"/>
    </row>
    <row r="184">
      <c r="F184" s="39"/>
    </row>
    <row r="185">
      <c r="F185" s="39"/>
    </row>
    <row r="186">
      <c r="F186" s="39"/>
    </row>
    <row r="187">
      <c r="F187" s="39"/>
    </row>
    <row r="188">
      <c r="F188" s="39"/>
    </row>
    <row r="189">
      <c r="F189" s="39"/>
    </row>
    <row r="190">
      <c r="F190" s="39"/>
    </row>
    <row r="191">
      <c r="F191" s="39"/>
    </row>
    <row r="192">
      <c r="F192" s="39"/>
    </row>
    <row r="193">
      <c r="F193" s="39"/>
    </row>
    <row r="194">
      <c r="F194" s="39"/>
    </row>
    <row r="195">
      <c r="F195" s="39"/>
    </row>
    <row r="196">
      <c r="F196" s="39"/>
    </row>
    <row r="197">
      <c r="F197" s="39"/>
    </row>
    <row r="198">
      <c r="F198" s="39"/>
    </row>
    <row r="199">
      <c r="F199" s="39"/>
    </row>
    <row r="200">
      <c r="F200" s="39"/>
    </row>
    <row r="201">
      <c r="F201" s="39"/>
    </row>
    <row r="202">
      <c r="F202" s="39"/>
    </row>
    <row r="203">
      <c r="F203" s="39"/>
    </row>
    <row r="204">
      <c r="F204" s="39"/>
    </row>
    <row r="205">
      <c r="F205" s="39"/>
    </row>
    <row r="206">
      <c r="F206" s="39"/>
    </row>
    <row r="207">
      <c r="F207" s="39"/>
    </row>
    <row r="208">
      <c r="F208" s="39"/>
    </row>
    <row r="209">
      <c r="F209" s="39"/>
    </row>
    <row r="210">
      <c r="F210" s="39"/>
    </row>
    <row r="211">
      <c r="F211" s="39"/>
    </row>
    <row r="212">
      <c r="F212" s="39"/>
    </row>
    <row r="213">
      <c r="F213" s="39"/>
    </row>
    <row r="214">
      <c r="F214" s="39"/>
    </row>
    <row r="215">
      <c r="F215" s="39"/>
    </row>
    <row r="216">
      <c r="F216" s="39"/>
    </row>
    <row r="217">
      <c r="F217" s="39"/>
    </row>
    <row r="218">
      <c r="F218" s="39"/>
    </row>
    <row r="219">
      <c r="F219" s="39"/>
    </row>
    <row r="220">
      <c r="F220" s="39"/>
    </row>
    <row r="221">
      <c r="F221" s="39"/>
    </row>
    <row r="222">
      <c r="F222" s="39"/>
    </row>
    <row r="223">
      <c r="F223" s="39"/>
    </row>
    <row r="224">
      <c r="F224" s="39"/>
    </row>
    <row r="225">
      <c r="F225" s="39"/>
    </row>
    <row r="226">
      <c r="F226" s="39"/>
    </row>
    <row r="227">
      <c r="F227" s="39"/>
    </row>
    <row r="228">
      <c r="F228" s="39"/>
    </row>
    <row r="229">
      <c r="F229" s="39"/>
    </row>
    <row r="230">
      <c r="F230" s="39"/>
    </row>
    <row r="231">
      <c r="F231" s="39"/>
    </row>
    <row r="232">
      <c r="F232" s="39"/>
    </row>
    <row r="233">
      <c r="F233" s="39"/>
    </row>
    <row r="234">
      <c r="F234" s="39"/>
    </row>
    <row r="235">
      <c r="F235" s="39"/>
    </row>
    <row r="236">
      <c r="F236" s="39"/>
    </row>
    <row r="237">
      <c r="F237" s="39"/>
    </row>
    <row r="238">
      <c r="F238" s="39"/>
    </row>
    <row r="239">
      <c r="F239" s="39"/>
    </row>
    <row r="240">
      <c r="F240" s="39"/>
    </row>
    <row r="241">
      <c r="F241" s="39"/>
    </row>
    <row r="242">
      <c r="F242" s="39"/>
    </row>
    <row r="243">
      <c r="F243" s="39"/>
    </row>
    <row r="244">
      <c r="F244" s="39"/>
    </row>
    <row r="245">
      <c r="F245" s="39"/>
    </row>
    <row r="246">
      <c r="F246" s="39"/>
    </row>
    <row r="247">
      <c r="F247" s="39"/>
    </row>
    <row r="248">
      <c r="F248" s="39"/>
    </row>
    <row r="249">
      <c r="F249" s="39"/>
    </row>
    <row r="250">
      <c r="F250" s="39"/>
    </row>
    <row r="251">
      <c r="F251" s="39"/>
    </row>
    <row r="252">
      <c r="F252" s="39"/>
    </row>
    <row r="253">
      <c r="F253" s="39"/>
    </row>
    <row r="254">
      <c r="F254" s="39"/>
    </row>
    <row r="255">
      <c r="F255" s="39"/>
    </row>
    <row r="256">
      <c r="F256" s="39"/>
    </row>
    <row r="257">
      <c r="F257" s="39"/>
    </row>
    <row r="258">
      <c r="F258" s="39"/>
    </row>
    <row r="259">
      <c r="F259" s="39"/>
    </row>
    <row r="260">
      <c r="F260" s="39"/>
    </row>
    <row r="261">
      <c r="F261" s="39"/>
    </row>
    <row r="262">
      <c r="F262" s="39"/>
    </row>
    <row r="263">
      <c r="F263" s="39"/>
    </row>
    <row r="264">
      <c r="F264" s="39"/>
    </row>
    <row r="265">
      <c r="F265" s="39"/>
    </row>
    <row r="266">
      <c r="F266" s="39"/>
    </row>
    <row r="267">
      <c r="F267" s="39"/>
    </row>
    <row r="268">
      <c r="F268" s="39"/>
    </row>
    <row r="269">
      <c r="F269" s="39"/>
    </row>
    <row r="270">
      <c r="F270" s="39"/>
    </row>
    <row r="271">
      <c r="F271" s="39"/>
    </row>
    <row r="272">
      <c r="F272" s="39"/>
    </row>
    <row r="273">
      <c r="F273" s="39"/>
    </row>
    <row r="274">
      <c r="F274" s="39"/>
    </row>
    <row r="275">
      <c r="F275" s="39"/>
    </row>
    <row r="276">
      <c r="F276" s="39"/>
    </row>
    <row r="277">
      <c r="F277" s="39"/>
    </row>
    <row r="278">
      <c r="F278" s="39"/>
    </row>
    <row r="279">
      <c r="F279" s="39"/>
    </row>
    <row r="280">
      <c r="F280" s="39"/>
    </row>
    <row r="281">
      <c r="F281" s="39"/>
    </row>
    <row r="282">
      <c r="F282" s="39"/>
    </row>
    <row r="283">
      <c r="F283" s="39"/>
    </row>
    <row r="284">
      <c r="F284" s="39"/>
    </row>
    <row r="285">
      <c r="F285" s="39"/>
    </row>
    <row r="286">
      <c r="F286" s="39"/>
    </row>
    <row r="287">
      <c r="F287" s="39"/>
    </row>
    <row r="288">
      <c r="F288" s="39"/>
    </row>
    <row r="289">
      <c r="F289" s="39"/>
    </row>
    <row r="290">
      <c r="F290" s="39"/>
    </row>
    <row r="291">
      <c r="F291" s="39"/>
    </row>
    <row r="292">
      <c r="F292" s="39"/>
    </row>
    <row r="293">
      <c r="F293" s="39"/>
    </row>
    <row r="294">
      <c r="F294" s="39"/>
    </row>
    <row r="295">
      <c r="F295" s="39"/>
    </row>
    <row r="296">
      <c r="F296" s="39"/>
    </row>
    <row r="297">
      <c r="F297" s="39"/>
    </row>
    <row r="298">
      <c r="F298" s="39"/>
    </row>
    <row r="299">
      <c r="F299" s="39"/>
    </row>
    <row r="300">
      <c r="F300" s="39"/>
    </row>
    <row r="301">
      <c r="F301" s="39"/>
    </row>
    <row r="302">
      <c r="F302" s="39"/>
    </row>
    <row r="303">
      <c r="F303" s="39"/>
    </row>
    <row r="304">
      <c r="F304" s="39"/>
    </row>
    <row r="305">
      <c r="F305" s="39"/>
    </row>
    <row r="306">
      <c r="F306" s="39"/>
    </row>
    <row r="307">
      <c r="F307" s="39"/>
    </row>
    <row r="308">
      <c r="F308" s="39"/>
    </row>
    <row r="309">
      <c r="F309" s="39"/>
    </row>
    <row r="310">
      <c r="F310" s="39"/>
    </row>
    <row r="311">
      <c r="F311" s="39"/>
    </row>
    <row r="312">
      <c r="F312" s="39"/>
    </row>
    <row r="313">
      <c r="F313" s="39"/>
    </row>
    <row r="314">
      <c r="F314" s="39"/>
    </row>
    <row r="315">
      <c r="F315" s="39"/>
    </row>
    <row r="316">
      <c r="F316" s="39"/>
    </row>
    <row r="317">
      <c r="F317" s="39"/>
    </row>
    <row r="318">
      <c r="F318" s="39"/>
    </row>
    <row r="319">
      <c r="F319" s="39"/>
    </row>
    <row r="320">
      <c r="F320" s="39"/>
    </row>
    <row r="321">
      <c r="F321" s="39"/>
    </row>
    <row r="322">
      <c r="F322" s="39"/>
    </row>
    <row r="323">
      <c r="F323" s="39"/>
    </row>
    <row r="324">
      <c r="F324" s="39"/>
    </row>
    <row r="325">
      <c r="F325" s="39"/>
    </row>
    <row r="326">
      <c r="F326" s="39"/>
    </row>
    <row r="327">
      <c r="F327" s="39"/>
    </row>
    <row r="328">
      <c r="F328" s="39"/>
    </row>
    <row r="329">
      <c r="F329" s="39"/>
    </row>
    <row r="330">
      <c r="F330" s="39"/>
    </row>
    <row r="331">
      <c r="F331" s="39"/>
    </row>
    <row r="332">
      <c r="F332" s="39"/>
    </row>
    <row r="333">
      <c r="F333" s="39"/>
    </row>
    <row r="334">
      <c r="F334" s="39"/>
    </row>
    <row r="335">
      <c r="F335" s="39"/>
    </row>
    <row r="336">
      <c r="F336" s="39"/>
    </row>
    <row r="337">
      <c r="F337" s="39"/>
    </row>
    <row r="338">
      <c r="F338" s="39"/>
    </row>
    <row r="339">
      <c r="F339" s="39"/>
    </row>
    <row r="340">
      <c r="F340" s="39"/>
    </row>
    <row r="341">
      <c r="F341" s="39"/>
    </row>
    <row r="342">
      <c r="F342" s="39"/>
    </row>
    <row r="343">
      <c r="F343" s="39"/>
    </row>
    <row r="344">
      <c r="F344" s="39"/>
    </row>
    <row r="345">
      <c r="F345" s="39"/>
    </row>
    <row r="346">
      <c r="F346" s="39"/>
    </row>
    <row r="347">
      <c r="F347" s="39"/>
    </row>
    <row r="348">
      <c r="F348" s="39"/>
    </row>
    <row r="349">
      <c r="F349" s="39"/>
    </row>
    <row r="350">
      <c r="F350" s="39"/>
    </row>
    <row r="351">
      <c r="F351" s="39"/>
    </row>
    <row r="352">
      <c r="F352" s="39"/>
    </row>
    <row r="353">
      <c r="F353" s="39"/>
    </row>
    <row r="354">
      <c r="F354" s="39"/>
    </row>
    <row r="355">
      <c r="F355" s="39"/>
    </row>
    <row r="356">
      <c r="F356" s="39"/>
    </row>
    <row r="357">
      <c r="F357" s="39"/>
    </row>
    <row r="358">
      <c r="F358" s="39"/>
    </row>
    <row r="359">
      <c r="F359" s="39"/>
    </row>
    <row r="360">
      <c r="F360" s="39"/>
    </row>
    <row r="361">
      <c r="F361" s="39"/>
    </row>
    <row r="362">
      <c r="F362" s="39"/>
    </row>
    <row r="363">
      <c r="F363" s="39"/>
    </row>
    <row r="364">
      <c r="F364" s="39"/>
    </row>
    <row r="365">
      <c r="F365" s="39"/>
    </row>
    <row r="366">
      <c r="F366" s="39"/>
    </row>
    <row r="367">
      <c r="F367" s="39"/>
    </row>
    <row r="368">
      <c r="F368" s="39"/>
    </row>
    <row r="369">
      <c r="F369" s="39"/>
    </row>
    <row r="370">
      <c r="F370" s="39"/>
    </row>
    <row r="371">
      <c r="F371" s="39"/>
    </row>
    <row r="372">
      <c r="F372" s="39"/>
    </row>
    <row r="373">
      <c r="F373" s="39"/>
    </row>
    <row r="374">
      <c r="F374" s="39"/>
    </row>
    <row r="375">
      <c r="F375" s="39"/>
    </row>
    <row r="376">
      <c r="F376" s="39"/>
    </row>
    <row r="377">
      <c r="F377" s="39"/>
    </row>
    <row r="378">
      <c r="F378" s="39"/>
    </row>
    <row r="379">
      <c r="F379" s="39"/>
    </row>
    <row r="380">
      <c r="F380" s="39"/>
    </row>
    <row r="381">
      <c r="F381" s="39"/>
    </row>
    <row r="382">
      <c r="F382" s="39"/>
    </row>
    <row r="383">
      <c r="F383" s="39"/>
    </row>
    <row r="384">
      <c r="F384" s="39"/>
    </row>
    <row r="385">
      <c r="F385" s="39"/>
    </row>
    <row r="386">
      <c r="F386" s="39"/>
    </row>
    <row r="387">
      <c r="F387" s="39"/>
    </row>
    <row r="388">
      <c r="F388" s="39"/>
    </row>
    <row r="389">
      <c r="F389" s="39"/>
    </row>
    <row r="390">
      <c r="F390" s="39"/>
    </row>
    <row r="391">
      <c r="F391" s="39"/>
    </row>
    <row r="392">
      <c r="F392" s="39"/>
    </row>
    <row r="393">
      <c r="F393" s="39"/>
    </row>
    <row r="394">
      <c r="F394" s="39"/>
    </row>
    <row r="395">
      <c r="F395" s="39"/>
    </row>
    <row r="396">
      <c r="F396" s="39"/>
    </row>
    <row r="397">
      <c r="F397" s="39"/>
    </row>
    <row r="398">
      <c r="F398" s="39"/>
    </row>
    <row r="399">
      <c r="F399" s="39"/>
    </row>
    <row r="400">
      <c r="F400" s="39"/>
    </row>
    <row r="401">
      <c r="F401" s="39"/>
    </row>
    <row r="402">
      <c r="F402" s="39"/>
    </row>
    <row r="403">
      <c r="F403" s="39"/>
    </row>
    <row r="404">
      <c r="F404" s="39"/>
    </row>
    <row r="405">
      <c r="F405" s="39"/>
    </row>
    <row r="406">
      <c r="F406" s="39"/>
    </row>
    <row r="407">
      <c r="F407" s="39"/>
    </row>
    <row r="408">
      <c r="F408" s="39"/>
    </row>
    <row r="409">
      <c r="F409" s="39"/>
    </row>
    <row r="410">
      <c r="F410" s="39"/>
    </row>
    <row r="411">
      <c r="F411" s="39"/>
    </row>
    <row r="412">
      <c r="F412" s="39"/>
    </row>
    <row r="413">
      <c r="F413" s="39"/>
    </row>
    <row r="414">
      <c r="F414" s="39"/>
    </row>
    <row r="415">
      <c r="F415" s="39"/>
    </row>
    <row r="416">
      <c r="F416" s="39"/>
    </row>
    <row r="417">
      <c r="F417" s="39"/>
    </row>
    <row r="418">
      <c r="F418" s="39"/>
    </row>
    <row r="419">
      <c r="F419" s="39"/>
    </row>
    <row r="420">
      <c r="F420" s="39"/>
    </row>
    <row r="421">
      <c r="F421" s="39"/>
    </row>
    <row r="422">
      <c r="F422" s="39"/>
    </row>
    <row r="423">
      <c r="F423" s="39"/>
    </row>
    <row r="424">
      <c r="F424" s="39"/>
    </row>
    <row r="425">
      <c r="F425" s="39"/>
    </row>
    <row r="426">
      <c r="F426" s="39"/>
    </row>
    <row r="427">
      <c r="F427" s="39"/>
    </row>
    <row r="428">
      <c r="F428" s="39"/>
    </row>
    <row r="429">
      <c r="F429" s="39"/>
    </row>
    <row r="430">
      <c r="F430" s="39"/>
    </row>
    <row r="431">
      <c r="F431" s="39"/>
    </row>
    <row r="432">
      <c r="F432" s="39"/>
    </row>
    <row r="433">
      <c r="F433" s="39"/>
    </row>
    <row r="434">
      <c r="F434" s="39"/>
    </row>
    <row r="435">
      <c r="F435" s="39"/>
    </row>
    <row r="436">
      <c r="F436" s="39"/>
    </row>
    <row r="437">
      <c r="F437" s="39"/>
    </row>
    <row r="438">
      <c r="F438" s="39"/>
    </row>
    <row r="439">
      <c r="F439" s="39"/>
    </row>
    <row r="440">
      <c r="F440" s="39"/>
    </row>
    <row r="441">
      <c r="F441" s="39"/>
    </row>
    <row r="442">
      <c r="F442" s="39"/>
    </row>
    <row r="443">
      <c r="F443" s="39"/>
    </row>
    <row r="444">
      <c r="F444" s="39"/>
    </row>
    <row r="445">
      <c r="F445" s="39"/>
    </row>
    <row r="446">
      <c r="F446" s="39"/>
    </row>
    <row r="447">
      <c r="F447" s="39"/>
    </row>
    <row r="448">
      <c r="F448" s="39"/>
    </row>
    <row r="449">
      <c r="F449" s="39"/>
    </row>
    <row r="450">
      <c r="F450" s="39"/>
    </row>
    <row r="451">
      <c r="F451" s="39"/>
    </row>
    <row r="452">
      <c r="F452" s="39"/>
    </row>
    <row r="453">
      <c r="F453" s="39"/>
    </row>
    <row r="454">
      <c r="F454" s="39"/>
    </row>
    <row r="455">
      <c r="F455" s="39"/>
    </row>
    <row r="456">
      <c r="F456" s="39"/>
    </row>
    <row r="457">
      <c r="F457" s="39"/>
    </row>
    <row r="458">
      <c r="F458" s="39"/>
    </row>
    <row r="459">
      <c r="F459" s="39"/>
    </row>
    <row r="460">
      <c r="F460" s="39"/>
    </row>
    <row r="461">
      <c r="F461" s="39"/>
    </row>
    <row r="462">
      <c r="F462" s="39"/>
    </row>
    <row r="463">
      <c r="F463" s="39"/>
    </row>
    <row r="464">
      <c r="F464" s="39"/>
    </row>
    <row r="465">
      <c r="F465" s="39"/>
    </row>
    <row r="466">
      <c r="F466" s="39"/>
    </row>
    <row r="467">
      <c r="F467" s="39"/>
    </row>
    <row r="468">
      <c r="F468" s="39"/>
    </row>
    <row r="469">
      <c r="F469" s="39"/>
    </row>
    <row r="470">
      <c r="F470" s="39"/>
    </row>
    <row r="471">
      <c r="F471" s="39"/>
    </row>
    <row r="472">
      <c r="F472" s="39"/>
    </row>
    <row r="473">
      <c r="F473" s="39"/>
    </row>
    <row r="474">
      <c r="F474" s="39"/>
    </row>
    <row r="475">
      <c r="F475" s="39"/>
    </row>
    <row r="476">
      <c r="F476" s="39"/>
    </row>
    <row r="477">
      <c r="F477" s="39"/>
    </row>
    <row r="478">
      <c r="F478" s="39"/>
    </row>
    <row r="479">
      <c r="F479" s="39"/>
    </row>
    <row r="480">
      <c r="F480" s="39"/>
    </row>
    <row r="481">
      <c r="F481" s="39"/>
    </row>
    <row r="482">
      <c r="F482" s="39"/>
    </row>
    <row r="483">
      <c r="F483" s="39"/>
    </row>
    <row r="484">
      <c r="F484" s="39"/>
    </row>
    <row r="485">
      <c r="F485" s="39"/>
    </row>
    <row r="486">
      <c r="F486" s="39"/>
    </row>
    <row r="487">
      <c r="F487" s="39"/>
    </row>
    <row r="488">
      <c r="F488" s="39"/>
    </row>
    <row r="489">
      <c r="F489" s="39"/>
    </row>
    <row r="490">
      <c r="F490" s="39"/>
    </row>
    <row r="491">
      <c r="F491" s="39"/>
    </row>
    <row r="492">
      <c r="F492" s="39"/>
    </row>
    <row r="493">
      <c r="F493" s="39"/>
    </row>
    <row r="494">
      <c r="F494" s="39"/>
    </row>
    <row r="495">
      <c r="F495" s="39"/>
    </row>
    <row r="496">
      <c r="F496" s="39"/>
    </row>
    <row r="497">
      <c r="F497" s="39"/>
    </row>
    <row r="498">
      <c r="F498" s="39"/>
    </row>
    <row r="499">
      <c r="F499" s="39"/>
    </row>
    <row r="500">
      <c r="F500" s="39"/>
    </row>
    <row r="501">
      <c r="F501" s="39"/>
    </row>
    <row r="502">
      <c r="F502" s="39"/>
    </row>
    <row r="503">
      <c r="F503" s="39"/>
    </row>
    <row r="504">
      <c r="F504" s="39"/>
    </row>
    <row r="505">
      <c r="F505" s="39"/>
    </row>
    <row r="506">
      <c r="F506" s="39"/>
    </row>
    <row r="507">
      <c r="F507" s="39"/>
    </row>
    <row r="508">
      <c r="F508" s="39"/>
    </row>
    <row r="509">
      <c r="F509" s="39"/>
    </row>
    <row r="510">
      <c r="F510" s="39"/>
    </row>
    <row r="511">
      <c r="F511" s="39"/>
    </row>
    <row r="512">
      <c r="F512" s="39"/>
    </row>
    <row r="513">
      <c r="F513" s="39"/>
    </row>
    <row r="514">
      <c r="F514" s="39"/>
    </row>
    <row r="515">
      <c r="F515" s="39"/>
    </row>
    <row r="516">
      <c r="F516" s="39"/>
    </row>
    <row r="517">
      <c r="F517" s="39"/>
    </row>
    <row r="518">
      <c r="F518" s="39"/>
    </row>
    <row r="519">
      <c r="F519" s="39"/>
    </row>
    <row r="520">
      <c r="F520" s="39"/>
    </row>
    <row r="521">
      <c r="F521" s="39"/>
    </row>
    <row r="522">
      <c r="F522" s="39"/>
    </row>
    <row r="523">
      <c r="F523" s="39"/>
    </row>
    <row r="524">
      <c r="F524" s="39"/>
    </row>
    <row r="525">
      <c r="F525" s="39"/>
    </row>
    <row r="526">
      <c r="F526" s="39"/>
    </row>
    <row r="527">
      <c r="F527" s="39"/>
    </row>
    <row r="528">
      <c r="F528" s="39"/>
    </row>
    <row r="529">
      <c r="F529" s="39"/>
    </row>
    <row r="530">
      <c r="F530" s="39"/>
    </row>
    <row r="531">
      <c r="F531" s="39"/>
    </row>
    <row r="532">
      <c r="F532" s="39"/>
    </row>
    <row r="533">
      <c r="F533" s="39"/>
    </row>
    <row r="534">
      <c r="F534" s="39"/>
    </row>
    <row r="535">
      <c r="F535" s="39"/>
    </row>
    <row r="536">
      <c r="F536" s="39"/>
    </row>
    <row r="537">
      <c r="F537" s="39"/>
    </row>
    <row r="538">
      <c r="F538" s="39"/>
    </row>
    <row r="539">
      <c r="F539" s="39"/>
    </row>
    <row r="540">
      <c r="F540" s="39"/>
    </row>
    <row r="541">
      <c r="F541" s="39"/>
    </row>
    <row r="542">
      <c r="F542" s="39"/>
    </row>
    <row r="543">
      <c r="F543" s="39"/>
    </row>
    <row r="544">
      <c r="F544" s="39"/>
    </row>
    <row r="545">
      <c r="F545" s="39"/>
    </row>
    <row r="546">
      <c r="F546" s="39"/>
    </row>
    <row r="547">
      <c r="F547" s="39"/>
    </row>
    <row r="548">
      <c r="F548" s="39"/>
    </row>
    <row r="549">
      <c r="F549" s="39"/>
    </row>
    <row r="550">
      <c r="F550" s="39"/>
    </row>
    <row r="551">
      <c r="F551" s="39"/>
    </row>
    <row r="552">
      <c r="F552" s="39"/>
    </row>
    <row r="553">
      <c r="F553" s="39"/>
    </row>
    <row r="554">
      <c r="F554" s="39"/>
    </row>
    <row r="555">
      <c r="F555" s="39"/>
    </row>
    <row r="556">
      <c r="F556" s="39"/>
    </row>
    <row r="557">
      <c r="F557" s="39"/>
    </row>
    <row r="558">
      <c r="F558" s="39"/>
    </row>
    <row r="559">
      <c r="F559" s="39"/>
    </row>
    <row r="560">
      <c r="F560" s="39"/>
    </row>
    <row r="561">
      <c r="F561" s="39"/>
    </row>
    <row r="562">
      <c r="F562" s="39"/>
    </row>
    <row r="563">
      <c r="F563" s="39"/>
    </row>
    <row r="564">
      <c r="F564" s="39"/>
    </row>
    <row r="565">
      <c r="F565" s="39"/>
    </row>
    <row r="566">
      <c r="F566" s="39"/>
    </row>
    <row r="567">
      <c r="F567" s="39"/>
    </row>
    <row r="568">
      <c r="F568" s="39"/>
    </row>
    <row r="569">
      <c r="F569" s="39"/>
    </row>
    <row r="570">
      <c r="F570" s="39"/>
    </row>
    <row r="571">
      <c r="F571" s="39"/>
    </row>
    <row r="572">
      <c r="F572" s="39"/>
    </row>
    <row r="573">
      <c r="F573" s="39"/>
    </row>
    <row r="574">
      <c r="F574" s="39"/>
    </row>
    <row r="575">
      <c r="F575" s="39"/>
    </row>
    <row r="576">
      <c r="F576" s="39"/>
    </row>
    <row r="577">
      <c r="F577" s="39"/>
    </row>
    <row r="578">
      <c r="F578" s="39"/>
    </row>
    <row r="579">
      <c r="F579" s="39"/>
    </row>
    <row r="580">
      <c r="F580" s="39"/>
    </row>
    <row r="581">
      <c r="F581" s="39"/>
    </row>
    <row r="582">
      <c r="F582" s="39"/>
    </row>
    <row r="583">
      <c r="F583" s="39"/>
    </row>
    <row r="584">
      <c r="F584" s="39"/>
    </row>
    <row r="585">
      <c r="F585" s="39"/>
    </row>
    <row r="586">
      <c r="F586" s="39"/>
    </row>
    <row r="587">
      <c r="F587" s="39"/>
    </row>
    <row r="588">
      <c r="F588" s="39"/>
    </row>
    <row r="589">
      <c r="F589" s="39"/>
    </row>
    <row r="590">
      <c r="F590" s="39"/>
    </row>
    <row r="591">
      <c r="F591" s="39"/>
    </row>
    <row r="592">
      <c r="F592" s="39"/>
    </row>
    <row r="593">
      <c r="F593" s="39"/>
    </row>
    <row r="594">
      <c r="F594" s="39"/>
    </row>
    <row r="595">
      <c r="F595" s="39"/>
    </row>
    <row r="596">
      <c r="F596" s="39"/>
    </row>
    <row r="597">
      <c r="F597" s="39"/>
    </row>
    <row r="598">
      <c r="F598" s="39"/>
    </row>
    <row r="599">
      <c r="F599" s="39"/>
    </row>
    <row r="600">
      <c r="F600" s="39"/>
    </row>
    <row r="601">
      <c r="F601" s="39"/>
    </row>
    <row r="602">
      <c r="F602" s="39"/>
    </row>
    <row r="603">
      <c r="F603" s="39"/>
    </row>
    <row r="604">
      <c r="F604" s="39"/>
    </row>
    <row r="605">
      <c r="F605" s="39"/>
    </row>
    <row r="606">
      <c r="F606" s="39"/>
    </row>
    <row r="607">
      <c r="F607" s="39"/>
    </row>
    <row r="608">
      <c r="F608" s="39"/>
    </row>
    <row r="609">
      <c r="F609" s="39"/>
    </row>
    <row r="610">
      <c r="F610" s="39"/>
    </row>
    <row r="611">
      <c r="F611" s="39"/>
    </row>
    <row r="612">
      <c r="F612" s="39"/>
    </row>
    <row r="613">
      <c r="F613" s="39"/>
    </row>
    <row r="614">
      <c r="F614" s="39"/>
    </row>
    <row r="615">
      <c r="F615" s="39"/>
    </row>
    <row r="616">
      <c r="F616" s="39"/>
    </row>
    <row r="617">
      <c r="F617" s="39"/>
    </row>
    <row r="618">
      <c r="F618" s="39"/>
    </row>
    <row r="619">
      <c r="F619" s="39"/>
    </row>
    <row r="620">
      <c r="F620" s="39"/>
    </row>
    <row r="621">
      <c r="F621" s="39"/>
    </row>
    <row r="622">
      <c r="F622" s="39"/>
    </row>
    <row r="623">
      <c r="F623" s="39"/>
    </row>
    <row r="624">
      <c r="F624" s="39"/>
    </row>
    <row r="625">
      <c r="F625" s="39"/>
    </row>
    <row r="626">
      <c r="F626" s="39"/>
    </row>
    <row r="627">
      <c r="F627" s="39"/>
    </row>
    <row r="628">
      <c r="F628" s="39"/>
    </row>
    <row r="629">
      <c r="F629" s="39"/>
    </row>
    <row r="630">
      <c r="F630" s="39"/>
    </row>
    <row r="631">
      <c r="F631" s="39"/>
    </row>
    <row r="632">
      <c r="F632" s="39"/>
    </row>
    <row r="633">
      <c r="F633" s="39"/>
    </row>
    <row r="634">
      <c r="F634" s="39"/>
    </row>
    <row r="635">
      <c r="F635" s="39"/>
    </row>
    <row r="636">
      <c r="F636" s="39"/>
    </row>
    <row r="637">
      <c r="F637" s="39"/>
    </row>
    <row r="638">
      <c r="F638" s="39"/>
    </row>
    <row r="639">
      <c r="F639" s="39"/>
    </row>
    <row r="640">
      <c r="F640" s="39"/>
    </row>
    <row r="641">
      <c r="F641" s="39"/>
    </row>
    <row r="642">
      <c r="F642" s="39"/>
    </row>
    <row r="643">
      <c r="F643" s="39"/>
    </row>
    <row r="644">
      <c r="F644" s="39"/>
    </row>
    <row r="645">
      <c r="F645" s="39"/>
    </row>
    <row r="646">
      <c r="F646" s="39"/>
    </row>
    <row r="647">
      <c r="F647" s="39"/>
    </row>
    <row r="648">
      <c r="F648" s="39"/>
    </row>
    <row r="649">
      <c r="F649" s="39"/>
    </row>
    <row r="650">
      <c r="F650" s="39"/>
    </row>
    <row r="651">
      <c r="F651" s="39"/>
    </row>
    <row r="652">
      <c r="F652" s="39"/>
    </row>
    <row r="653">
      <c r="F653" s="39"/>
    </row>
    <row r="654">
      <c r="F654" s="39"/>
    </row>
    <row r="655">
      <c r="F655" s="39"/>
    </row>
    <row r="656">
      <c r="F656" s="39"/>
    </row>
    <row r="657">
      <c r="F657" s="39"/>
    </row>
    <row r="658">
      <c r="F658" s="39"/>
    </row>
    <row r="659">
      <c r="F659" s="39"/>
    </row>
    <row r="660">
      <c r="F660" s="39"/>
    </row>
    <row r="661">
      <c r="F661" s="39"/>
    </row>
    <row r="662">
      <c r="F662" s="39"/>
    </row>
    <row r="663">
      <c r="F663" s="39"/>
    </row>
    <row r="664">
      <c r="F664" s="39"/>
    </row>
    <row r="665">
      <c r="F665" s="39"/>
    </row>
    <row r="666">
      <c r="F666" s="39"/>
    </row>
    <row r="667">
      <c r="F667" s="39"/>
    </row>
    <row r="668">
      <c r="F668" s="39"/>
    </row>
    <row r="669">
      <c r="F669" s="39"/>
    </row>
    <row r="670">
      <c r="F670" s="39"/>
    </row>
    <row r="671">
      <c r="F671" s="39"/>
    </row>
    <row r="672">
      <c r="F672" s="39"/>
    </row>
    <row r="673">
      <c r="F673" s="39"/>
    </row>
    <row r="674">
      <c r="F674" s="39"/>
    </row>
    <row r="675">
      <c r="F675" s="39"/>
    </row>
    <row r="676">
      <c r="F676" s="39"/>
    </row>
    <row r="677">
      <c r="F677" s="39"/>
    </row>
    <row r="678">
      <c r="F678" s="39"/>
    </row>
    <row r="679">
      <c r="F679" s="39"/>
    </row>
    <row r="680">
      <c r="F680" s="39"/>
    </row>
    <row r="681">
      <c r="F681" s="39"/>
    </row>
    <row r="682">
      <c r="F682" s="39"/>
    </row>
    <row r="683">
      <c r="F683" s="39"/>
    </row>
    <row r="684">
      <c r="F684" s="39"/>
    </row>
    <row r="685">
      <c r="F685" s="39"/>
    </row>
    <row r="686">
      <c r="F686" s="39"/>
    </row>
    <row r="687">
      <c r="F687" s="39"/>
    </row>
    <row r="688">
      <c r="F688" s="39"/>
    </row>
    <row r="689">
      <c r="F689" s="39"/>
    </row>
    <row r="690">
      <c r="F690" s="39"/>
    </row>
    <row r="691">
      <c r="F691" s="39"/>
    </row>
    <row r="692">
      <c r="F692" s="39"/>
    </row>
    <row r="693">
      <c r="F693" s="39"/>
    </row>
    <row r="694">
      <c r="F694" s="39"/>
    </row>
    <row r="695">
      <c r="F695" s="39"/>
    </row>
    <row r="696">
      <c r="F696" s="39"/>
    </row>
    <row r="697">
      <c r="F697" s="39"/>
    </row>
    <row r="698">
      <c r="F698" s="39"/>
    </row>
    <row r="699">
      <c r="F699" s="39"/>
    </row>
    <row r="700">
      <c r="F700" s="39"/>
    </row>
    <row r="701">
      <c r="F701" s="39"/>
    </row>
    <row r="702">
      <c r="F702" s="39"/>
    </row>
    <row r="703">
      <c r="F703" s="39"/>
    </row>
    <row r="704">
      <c r="F704" s="39"/>
    </row>
    <row r="705">
      <c r="F705" s="39"/>
    </row>
    <row r="706">
      <c r="F706" s="39"/>
    </row>
    <row r="707">
      <c r="F707" s="39"/>
    </row>
    <row r="708">
      <c r="F708" s="39"/>
    </row>
    <row r="709">
      <c r="F709" s="39"/>
    </row>
    <row r="710">
      <c r="F710" s="39"/>
    </row>
    <row r="711">
      <c r="F711" s="39"/>
    </row>
    <row r="712">
      <c r="F712" s="39"/>
    </row>
    <row r="713">
      <c r="F713" s="39"/>
    </row>
    <row r="714">
      <c r="F714" s="39"/>
    </row>
    <row r="715">
      <c r="F715" s="39"/>
    </row>
    <row r="716">
      <c r="F716" s="39"/>
    </row>
    <row r="717">
      <c r="F717" s="39"/>
    </row>
    <row r="718">
      <c r="F718" s="39"/>
    </row>
    <row r="719">
      <c r="F719" s="39"/>
    </row>
    <row r="720">
      <c r="F720" s="39"/>
    </row>
    <row r="721">
      <c r="F721" s="39"/>
    </row>
    <row r="722">
      <c r="F722" s="39"/>
    </row>
    <row r="723">
      <c r="F723" s="39"/>
    </row>
    <row r="724">
      <c r="F724" s="39"/>
    </row>
    <row r="725">
      <c r="F725" s="39"/>
    </row>
    <row r="726">
      <c r="F726" s="39"/>
    </row>
    <row r="727">
      <c r="F727" s="39"/>
    </row>
    <row r="728">
      <c r="F728" s="39"/>
    </row>
    <row r="729">
      <c r="F729" s="39"/>
    </row>
    <row r="730">
      <c r="F730" s="39"/>
    </row>
    <row r="731">
      <c r="F731" s="39"/>
    </row>
    <row r="732">
      <c r="F732" s="39"/>
    </row>
    <row r="733">
      <c r="F733" s="39"/>
    </row>
    <row r="734">
      <c r="F734" s="39"/>
    </row>
    <row r="735">
      <c r="F735" s="39"/>
    </row>
    <row r="736">
      <c r="F736" s="39"/>
    </row>
    <row r="737">
      <c r="F737" s="39"/>
    </row>
    <row r="738">
      <c r="F738" s="39"/>
    </row>
    <row r="739">
      <c r="F739" s="39"/>
    </row>
    <row r="740">
      <c r="F740" s="39"/>
    </row>
    <row r="741">
      <c r="F741" s="39"/>
    </row>
    <row r="742">
      <c r="F742" s="39"/>
    </row>
    <row r="743">
      <c r="F743" s="39"/>
    </row>
    <row r="744">
      <c r="F744" s="39"/>
    </row>
    <row r="745">
      <c r="F745" s="39"/>
    </row>
    <row r="746">
      <c r="F746" s="39"/>
    </row>
    <row r="747">
      <c r="F747" s="39"/>
    </row>
    <row r="748">
      <c r="F748" s="39"/>
    </row>
    <row r="749">
      <c r="F749" s="39"/>
    </row>
    <row r="750">
      <c r="F750" s="39"/>
    </row>
    <row r="751">
      <c r="F751" s="39"/>
    </row>
    <row r="752">
      <c r="F752" s="39"/>
    </row>
    <row r="753">
      <c r="F753" s="39"/>
    </row>
    <row r="754">
      <c r="F754" s="39"/>
    </row>
    <row r="755">
      <c r="F755" s="39"/>
    </row>
    <row r="756">
      <c r="F756" s="39"/>
    </row>
    <row r="757">
      <c r="F757" s="39"/>
    </row>
    <row r="758">
      <c r="F758" s="39"/>
    </row>
    <row r="759">
      <c r="F759" s="39"/>
    </row>
    <row r="760">
      <c r="F760" s="39"/>
    </row>
    <row r="761">
      <c r="F761" s="39"/>
    </row>
    <row r="762">
      <c r="F762" s="39"/>
    </row>
    <row r="763">
      <c r="F763" s="39"/>
    </row>
    <row r="764">
      <c r="F764" s="39"/>
    </row>
    <row r="765">
      <c r="F765" s="39"/>
    </row>
    <row r="766">
      <c r="F766" s="39"/>
    </row>
    <row r="767">
      <c r="F767" s="39"/>
    </row>
    <row r="768">
      <c r="F768" s="39"/>
    </row>
    <row r="769">
      <c r="F769" s="39"/>
    </row>
    <row r="770">
      <c r="F770" s="39"/>
    </row>
    <row r="771">
      <c r="F771" s="39"/>
    </row>
    <row r="772">
      <c r="F772" s="39"/>
    </row>
    <row r="773">
      <c r="F773" s="39"/>
    </row>
    <row r="774">
      <c r="F774" s="39"/>
    </row>
    <row r="775">
      <c r="F775" s="39"/>
    </row>
    <row r="776">
      <c r="F776" s="39"/>
    </row>
    <row r="777">
      <c r="F777" s="39"/>
    </row>
    <row r="778">
      <c r="F778" s="39"/>
    </row>
    <row r="779">
      <c r="F779" s="39"/>
    </row>
    <row r="780">
      <c r="F780" s="39"/>
    </row>
    <row r="781">
      <c r="F781" s="39"/>
    </row>
    <row r="782">
      <c r="F782" s="39"/>
    </row>
    <row r="783">
      <c r="F783" s="39"/>
    </row>
    <row r="784">
      <c r="F784" s="39"/>
    </row>
    <row r="785">
      <c r="F785" s="39"/>
    </row>
    <row r="786">
      <c r="F786" s="39"/>
    </row>
    <row r="787">
      <c r="F787" s="39"/>
    </row>
    <row r="788">
      <c r="F788" s="39"/>
    </row>
    <row r="789">
      <c r="F789" s="39"/>
    </row>
    <row r="790">
      <c r="F790" s="39"/>
    </row>
    <row r="791">
      <c r="F791" s="39"/>
    </row>
    <row r="792">
      <c r="F792" s="39"/>
    </row>
    <row r="793">
      <c r="F793" s="39"/>
    </row>
    <row r="794">
      <c r="F794" s="39"/>
    </row>
    <row r="795">
      <c r="F795" s="39"/>
    </row>
    <row r="796">
      <c r="F796" s="39"/>
    </row>
    <row r="797">
      <c r="F797" s="39"/>
    </row>
    <row r="798">
      <c r="F798" s="39"/>
    </row>
    <row r="799">
      <c r="F799" s="39"/>
    </row>
    <row r="800">
      <c r="F800" s="39"/>
    </row>
    <row r="801">
      <c r="F801" s="39"/>
    </row>
    <row r="802">
      <c r="F802" s="39"/>
    </row>
    <row r="803">
      <c r="F803" s="39"/>
    </row>
    <row r="804">
      <c r="F804" s="39"/>
    </row>
    <row r="805">
      <c r="F805" s="39"/>
    </row>
    <row r="806">
      <c r="F806" s="39"/>
    </row>
    <row r="807">
      <c r="F807" s="39"/>
    </row>
    <row r="808">
      <c r="F808" s="39"/>
    </row>
    <row r="809">
      <c r="F809" s="39"/>
    </row>
    <row r="810">
      <c r="F810" s="39"/>
    </row>
    <row r="811">
      <c r="F811" s="39"/>
    </row>
    <row r="812">
      <c r="F812" s="39"/>
    </row>
    <row r="813">
      <c r="F813" s="39"/>
    </row>
    <row r="814">
      <c r="F814" s="39"/>
    </row>
    <row r="815">
      <c r="F815" s="39"/>
    </row>
    <row r="816">
      <c r="F816" s="39"/>
    </row>
    <row r="817">
      <c r="F817" s="39"/>
    </row>
    <row r="818">
      <c r="F818" s="39"/>
    </row>
    <row r="819">
      <c r="F819" s="39"/>
    </row>
    <row r="820">
      <c r="F820" s="39"/>
    </row>
    <row r="821">
      <c r="F821" s="39"/>
    </row>
    <row r="822">
      <c r="F822" s="39"/>
    </row>
    <row r="823">
      <c r="F823" s="39"/>
    </row>
    <row r="824">
      <c r="F824" s="39"/>
    </row>
    <row r="825">
      <c r="F825" s="39"/>
    </row>
    <row r="826">
      <c r="F826" s="39"/>
    </row>
    <row r="827">
      <c r="F827" s="39"/>
    </row>
    <row r="828">
      <c r="F828" s="39"/>
    </row>
    <row r="829">
      <c r="F829" s="39"/>
    </row>
    <row r="830">
      <c r="F830" s="39"/>
    </row>
    <row r="831">
      <c r="F831" s="39"/>
    </row>
    <row r="832">
      <c r="F832" s="39"/>
    </row>
    <row r="833">
      <c r="F833" s="39"/>
    </row>
    <row r="834">
      <c r="F834" s="39"/>
    </row>
    <row r="835">
      <c r="F835" s="39"/>
    </row>
    <row r="836">
      <c r="F836" s="39"/>
    </row>
    <row r="837">
      <c r="F837" s="39"/>
    </row>
    <row r="838">
      <c r="F838" s="39"/>
    </row>
    <row r="839">
      <c r="F839" s="39"/>
    </row>
    <row r="840">
      <c r="F840" s="39"/>
    </row>
    <row r="841">
      <c r="F841" s="39"/>
    </row>
    <row r="842">
      <c r="F842" s="39"/>
    </row>
    <row r="843">
      <c r="F843" s="39"/>
    </row>
    <row r="844">
      <c r="F844" s="39"/>
    </row>
    <row r="845">
      <c r="F845" s="39"/>
    </row>
    <row r="846">
      <c r="F846" s="39"/>
    </row>
    <row r="847">
      <c r="F847" s="39"/>
    </row>
    <row r="848">
      <c r="F848" s="39"/>
    </row>
    <row r="849">
      <c r="F849" s="39"/>
    </row>
    <row r="850">
      <c r="F850" s="39"/>
    </row>
    <row r="851">
      <c r="F851" s="39"/>
    </row>
    <row r="852">
      <c r="F852" s="39"/>
    </row>
    <row r="853">
      <c r="F853" s="39"/>
    </row>
    <row r="854">
      <c r="F854" s="39"/>
    </row>
    <row r="855">
      <c r="F855" s="39"/>
    </row>
    <row r="856">
      <c r="F856" s="39"/>
    </row>
    <row r="857">
      <c r="F857" s="39"/>
    </row>
    <row r="858">
      <c r="F858" s="39"/>
    </row>
    <row r="859">
      <c r="F859" s="39"/>
    </row>
    <row r="860">
      <c r="F860" s="39"/>
    </row>
    <row r="861">
      <c r="F861" s="39"/>
    </row>
    <row r="862">
      <c r="F862" s="39"/>
    </row>
    <row r="863">
      <c r="F863" s="39"/>
    </row>
    <row r="864">
      <c r="F864" s="39"/>
    </row>
    <row r="865">
      <c r="F865" s="39"/>
    </row>
    <row r="866">
      <c r="F866" s="39"/>
    </row>
    <row r="867">
      <c r="F867" s="39"/>
    </row>
    <row r="868">
      <c r="F868" s="39"/>
    </row>
    <row r="869">
      <c r="F869" s="39"/>
    </row>
    <row r="870">
      <c r="F870" s="39"/>
    </row>
    <row r="871">
      <c r="F871" s="39"/>
    </row>
    <row r="872">
      <c r="F872" s="39"/>
    </row>
    <row r="873">
      <c r="F873" s="39"/>
    </row>
    <row r="874">
      <c r="F874" s="39"/>
    </row>
    <row r="875">
      <c r="F875" s="39"/>
    </row>
    <row r="876">
      <c r="F876" s="39"/>
    </row>
    <row r="877">
      <c r="F877" s="39"/>
    </row>
    <row r="878">
      <c r="F878" s="39"/>
    </row>
    <row r="879">
      <c r="F879" s="39"/>
    </row>
    <row r="880">
      <c r="F880" s="39"/>
    </row>
    <row r="881">
      <c r="F881" s="39"/>
    </row>
    <row r="882">
      <c r="F882" s="39"/>
    </row>
    <row r="883">
      <c r="F883" s="39"/>
    </row>
    <row r="884">
      <c r="F884" s="39"/>
    </row>
    <row r="885">
      <c r="F885" s="39"/>
    </row>
    <row r="886">
      <c r="F886" s="39"/>
    </row>
    <row r="887">
      <c r="F887" s="39"/>
    </row>
    <row r="888">
      <c r="F888" s="39"/>
    </row>
    <row r="889">
      <c r="F889" s="39"/>
    </row>
    <row r="890">
      <c r="F890" s="39"/>
    </row>
    <row r="891">
      <c r="F891" s="39"/>
    </row>
    <row r="892">
      <c r="F892" s="39"/>
    </row>
    <row r="893">
      <c r="F893" s="39"/>
    </row>
    <row r="894">
      <c r="F894" s="39"/>
    </row>
    <row r="895">
      <c r="F895" s="39"/>
    </row>
    <row r="896">
      <c r="F896" s="39"/>
    </row>
    <row r="897">
      <c r="F897" s="39"/>
    </row>
    <row r="898">
      <c r="F898" s="39"/>
    </row>
    <row r="899">
      <c r="F899" s="39"/>
    </row>
    <row r="900">
      <c r="F900" s="39"/>
    </row>
    <row r="901">
      <c r="F901" s="39"/>
    </row>
    <row r="902">
      <c r="F902" s="39"/>
    </row>
    <row r="903">
      <c r="F903" s="39"/>
    </row>
    <row r="904">
      <c r="F904" s="39"/>
    </row>
    <row r="905">
      <c r="F905" s="39"/>
    </row>
    <row r="906">
      <c r="F906" s="39"/>
    </row>
    <row r="907">
      <c r="F907" s="39"/>
    </row>
    <row r="908">
      <c r="F908" s="39"/>
    </row>
    <row r="909">
      <c r="F909" s="39"/>
    </row>
    <row r="910">
      <c r="F910" s="39"/>
    </row>
    <row r="911">
      <c r="F911" s="39"/>
    </row>
    <row r="912">
      <c r="F912" s="39"/>
    </row>
    <row r="913">
      <c r="F913" s="39"/>
    </row>
    <row r="914">
      <c r="F914" s="39"/>
    </row>
    <row r="915">
      <c r="F915" s="39"/>
    </row>
    <row r="916">
      <c r="F916" s="39"/>
    </row>
    <row r="917">
      <c r="F917" s="39"/>
    </row>
    <row r="918">
      <c r="F918" s="39"/>
    </row>
    <row r="919">
      <c r="F919" s="39"/>
    </row>
    <row r="920">
      <c r="F920" s="39"/>
    </row>
    <row r="921">
      <c r="F921" s="39"/>
    </row>
    <row r="922">
      <c r="F922" s="39"/>
    </row>
    <row r="923">
      <c r="F923" s="39"/>
    </row>
    <row r="924">
      <c r="F924" s="39"/>
    </row>
    <row r="925">
      <c r="F925" s="39"/>
    </row>
    <row r="926">
      <c r="F926" s="39"/>
    </row>
    <row r="927">
      <c r="F927" s="39"/>
    </row>
    <row r="928">
      <c r="F928" s="39"/>
    </row>
    <row r="929">
      <c r="F929" s="39"/>
    </row>
    <row r="930">
      <c r="F930" s="39"/>
    </row>
    <row r="931">
      <c r="F931" s="39"/>
    </row>
    <row r="932">
      <c r="F932" s="39"/>
    </row>
    <row r="933">
      <c r="F933" s="39"/>
    </row>
    <row r="934">
      <c r="F934" s="39"/>
    </row>
    <row r="935">
      <c r="F935" s="39"/>
    </row>
    <row r="936">
      <c r="F936" s="39"/>
    </row>
    <row r="937">
      <c r="F937" s="39"/>
    </row>
    <row r="938">
      <c r="F938" s="39"/>
    </row>
    <row r="939">
      <c r="F939" s="39"/>
    </row>
    <row r="940">
      <c r="F940" s="39"/>
    </row>
    <row r="941">
      <c r="F941" s="39"/>
    </row>
    <row r="942">
      <c r="F942" s="39"/>
    </row>
    <row r="943">
      <c r="F943" s="39"/>
    </row>
    <row r="944">
      <c r="F944" s="39"/>
    </row>
    <row r="945">
      <c r="F945" s="39"/>
    </row>
    <row r="946">
      <c r="F946" s="39"/>
    </row>
    <row r="947">
      <c r="F947" s="39"/>
    </row>
    <row r="948">
      <c r="F948" s="39"/>
    </row>
    <row r="949">
      <c r="F949" s="39"/>
    </row>
    <row r="950">
      <c r="F950" s="39"/>
    </row>
    <row r="951">
      <c r="F951" s="39"/>
    </row>
    <row r="952">
      <c r="F952" s="39"/>
    </row>
    <row r="953">
      <c r="F953" s="39"/>
    </row>
    <row r="954">
      <c r="F954" s="39"/>
    </row>
    <row r="955">
      <c r="F955" s="39"/>
    </row>
    <row r="956">
      <c r="F956" s="39"/>
    </row>
    <row r="957">
      <c r="F957" s="39"/>
    </row>
    <row r="958">
      <c r="F958" s="39"/>
    </row>
    <row r="959">
      <c r="F959" s="39"/>
    </row>
    <row r="960">
      <c r="F960" s="39"/>
    </row>
    <row r="961">
      <c r="F961" s="39"/>
    </row>
    <row r="962">
      <c r="F962" s="39"/>
    </row>
    <row r="963">
      <c r="F963" s="39"/>
    </row>
    <row r="964">
      <c r="F964" s="39"/>
    </row>
    <row r="965">
      <c r="F965" s="39"/>
    </row>
    <row r="966">
      <c r="F966" s="39"/>
    </row>
    <row r="967">
      <c r="F967" s="39"/>
    </row>
    <row r="968">
      <c r="F968" s="39"/>
    </row>
    <row r="969">
      <c r="F969" s="39"/>
    </row>
    <row r="970">
      <c r="F970" s="39"/>
    </row>
    <row r="971">
      <c r="F971" s="39"/>
    </row>
    <row r="972">
      <c r="F972" s="39"/>
    </row>
    <row r="973">
      <c r="F973" s="39"/>
    </row>
    <row r="974">
      <c r="F974" s="39"/>
    </row>
    <row r="975">
      <c r="F975" s="39"/>
    </row>
    <row r="976">
      <c r="F976" s="39"/>
    </row>
    <row r="977">
      <c r="F977" s="39"/>
    </row>
    <row r="978">
      <c r="F978" s="39"/>
    </row>
    <row r="979">
      <c r="F979" s="39"/>
    </row>
    <row r="980">
      <c r="F980" s="39"/>
    </row>
    <row r="981">
      <c r="F981" s="39"/>
    </row>
    <row r="982">
      <c r="F982" s="39"/>
    </row>
    <row r="983">
      <c r="F983" s="39"/>
    </row>
    <row r="984">
      <c r="F984" s="39"/>
    </row>
    <row r="985">
      <c r="F985" s="39"/>
    </row>
    <row r="986">
      <c r="F986" s="39"/>
    </row>
    <row r="987">
      <c r="F987" s="39"/>
    </row>
    <row r="988">
      <c r="F988" s="39"/>
    </row>
    <row r="989">
      <c r="F989" s="39"/>
    </row>
    <row r="990">
      <c r="F990" s="39"/>
    </row>
    <row r="991">
      <c r="F991" s="39"/>
    </row>
    <row r="992">
      <c r="F992" s="39"/>
    </row>
    <row r="993">
      <c r="F993" s="39"/>
    </row>
    <row r="994">
      <c r="F994" s="39"/>
    </row>
    <row r="995">
      <c r="F995" s="39"/>
    </row>
    <row r="996">
      <c r="F996" s="39"/>
    </row>
    <row r="997">
      <c r="F997" s="39"/>
    </row>
    <row r="998">
      <c r="F998" s="39"/>
    </row>
    <row r="999">
      <c r="F999" s="39"/>
    </row>
    <row r="1000">
      <c r="F1000" s="3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8.88"/>
    <col customWidth="1" min="3" max="3" width="22.13"/>
    <col customWidth="1" min="4" max="4" width="13.25"/>
    <col customWidth="1" min="5" max="5" width="11.13"/>
    <col customWidth="1" min="6" max="6" width="19.5"/>
  </cols>
  <sheetData>
    <row r="1">
      <c r="A1" s="1" t="s">
        <v>3</v>
      </c>
      <c r="B1" s="1" t="s">
        <v>4</v>
      </c>
      <c r="C1" s="1" t="s">
        <v>5</v>
      </c>
      <c r="D1" s="1" t="s">
        <v>201</v>
      </c>
      <c r="E1" s="1" t="s">
        <v>202</v>
      </c>
      <c r="F1" s="1" t="s">
        <v>203</v>
      </c>
      <c r="G1" s="1"/>
      <c r="H1" s="1"/>
      <c r="I1" s="1"/>
      <c r="J1" s="1"/>
      <c r="K1" s="1"/>
      <c r="L1" s="1"/>
      <c r="M1" s="1"/>
      <c r="N1" s="1"/>
    </row>
    <row r="2">
      <c r="A2" s="4">
        <v>0.0</v>
      </c>
      <c r="B2" s="5">
        <v>0.0</v>
      </c>
      <c r="C2" s="6" t="s">
        <v>6</v>
      </c>
      <c r="D2" s="2">
        <v>1.0</v>
      </c>
      <c r="E2" s="2">
        <v>294.0</v>
      </c>
      <c r="F2" s="39">
        <f t="shared" ref="F2:F6" si="1">E2/D2</f>
        <v>294</v>
      </c>
    </row>
    <row r="3">
      <c r="A3" s="5">
        <v>1.0</v>
      </c>
      <c r="B3" s="5">
        <v>1.0</v>
      </c>
      <c r="C3" s="6" t="s">
        <v>7</v>
      </c>
      <c r="D3" s="2">
        <v>1.0</v>
      </c>
      <c r="E3" s="2">
        <v>1400.0</v>
      </c>
      <c r="F3" s="39">
        <f t="shared" si="1"/>
        <v>1400</v>
      </c>
    </row>
    <row r="4">
      <c r="A4" s="5">
        <v>1.0</v>
      </c>
      <c r="B4" s="5">
        <v>2.0</v>
      </c>
      <c r="C4" s="6" t="s">
        <v>8</v>
      </c>
      <c r="D4" s="2">
        <v>5.0</v>
      </c>
      <c r="E4" s="7">
        <f>4300+58000+2200+2700+664</f>
        <v>67864</v>
      </c>
      <c r="F4" s="39">
        <f t="shared" si="1"/>
        <v>13572.8</v>
      </c>
    </row>
    <row r="5">
      <c r="A5" s="5">
        <v>1.0</v>
      </c>
      <c r="B5" s="5">
        <v>3.0</v>
      </c>
      <c r="C5" s="6" t="s">
        <v>9</v>
      </c>
      <c r="D5" s="2">
        <v>1.0</v>
      </c>
      <c r="E5" s="2">
        <v>867.0</v>
      </c>
      <c r="F5" s="39">
        <f t="shared" si="1"/>
        <v>867</v>
      </c>
    </row>
    <row r="6">
      <c r="A6" s="5">
        <v>1.0</v>
      </c>
      <c r="B6" s="5">
        <v>4.0</v>
      </c>
      <c r="C6" s="6" t="s">
        <v>10</v>
      </c>
      <c r="D6" s="2">
        <v>2.0</v>
      </c>
      <c r="E6" s="7">
        <f>668+1351</f>
        <v>2019</v>
      </c>
      <c r="F6" s="39">
        <f t="shared" si="1"/>
        <v>1009.5</v>
      </c>
    </row>
    <row r="7">
      <c r="A7" s="5">
        <v>1.0</v>
      </c>
      <c r="B7" s="5">
        <v>5.0</v>
      </c>
      <c r="C7" s="6" t="s">
        <v>11</v>
      </c>
      <c r="D7" s="2">
        <v>0.0</v>
      </c>
      <c r="E7" s="2">
        <v>0.0</v>
      </c>
      <c r="F7" s="40">
        <v>0.0</v>
      </c>
    </row>
    <row r="8">
      <c r="A8" s="5">
        <v>2.0</v>
      </c>
      <c r="B8" s="5">
        <v>6.0</v>
      </c>
      <c r="C8" s="6" t="s">
        <v>12</v>
      </c>
      <c r="D8" s="2">
        <v>5.0</v>
      </c>
      <c r="E8" s="7">
        <f>1800+2000+2500+2200+2000</f>
        <v>10500</v>
      </c>
      <c r="F8" s="39">
        <f>E8/D8</f>
        <v>2100</v>
      </c>
    </row>
    <row r="9">
      <c r="A9" s="5">
        <v>2.0</v>
      </c>
      <c r="B9" s="5">
        <v>7.0</v>
      </c>
      <c r="C9" s="6" t="s">
        <v>13</v>
      </c>
      <c r="D9" s="2">
        <v>0.0</v>
      </c>
      <c r="E9" s="2">
        <v>0.0</v>
      </c>
      <c r="F9" s="40">
        <v>0.0</v>
      </c>
    </row>
    <row r="10">
      <c r="A10" s="5">
        <v>2.0</v>
      </c>
      <c r="B10" s="5">
        <v>8.0</v>
      </c>
      <c r="C10" s="6" t="s">
        <v>14</v>
      </c>
      <c r="D10" s="2">
        <v>2.0</v>
      </c>
      <c r="E10" s="7">
        <f>970+961</f>
        <v>1931</v>
      </c>
      <c r="F10" s="39">
        <f t="shared" ref="F10:F19" si="2">E10/D10</f>
        <v>965.5</v>
      </c>
    </row>
    <row r="11">
      <c r="A11" s="5">
        <v>2.0</v>
      </c>
      <c r="B11" s="5">
        <v>9.0</v>
      </c>
      <c r="C11" s="6" t="s">
        <v>15</v>
      </c>
      <c r="D11" s="2">
        <v>2.0</v>
      </c>
      <c r="E11" s="7">
        <f>970+813</f>
        <v>1783</v>
      </c>
      <c r="F11" s="39">
        <f t="shared" si="2"/>
        <v>891.5</v>
      </c>
    </row>
    <row r="12">
      <c r="A12" s="5">
        <v>2.0</v>
      </c>
      <c r="B12" s="5">
        <v>10.0</v>
      </c>
      <c r="C12" s="6" t="s">
        <v>16</v>
      </c>
      <c r="D12" s="2">
        <v>2.0</v>
      </c>
      <c r="E12" s="2">
        <v>2400.0</v>
      </c>
      <c r="F12" s="39">
        <f t="shared" si="2"/>
        <v>1200</v>
      </c>
    </row>
    <row r="13">
      <c r="A13" s="5">
        <v>3.0</v>
      </c>
      <c r="B13" s="5">
        <v>11.0</v>
      </c>
      <c r="C13" s="6" t="s">
        <v>17</v>
      </c>
      <c r="D13" s="2">
        <v>5.0</v>
      </c>
      <c r="E13" s="2">
        <v>3500.0</v>
      </c>
      <c r="F13" s="39">
        <f t="shared" si="2"/>
        <v>700</v>
      </c>
    </row>
    <row r="14">
      <c r="A14" s="5">
        <v>3.0</v>
      </c>
      <c r="B14" s="5">
        <v>12.0</v>
      </c>
      <c r="C14" s="6" t="s">
        <v>18</v>
      </c>
      <c r="D14" s="2">
        <v>3.0</v>
      </c>
      <c r="E14" s="2">
        <v>2000.0</v>
      </c>
      <c r="F14" s="39">
        <f t="shared" si="2"/>
        <v>666.6666667</v>
      </c>
    </row>
    <row r="15">
      <c r="A15" s="5">
        <v>3.0</v>
      </c>
      <c r="B15" s="5">
        <v>13.0</v>
      </c>
      <c r="C15" s="6" t="s">
        <v>19</v>
      </c>
      <c r="D15" s="2">
        <v>6.0</v>
      </c>
      <c r="E15" s="2">
        <v>4200.0</v>
      </c>
      <c r="F15" s="39">
        <f t="shared" si="2"/>
        <v>700</v>
      </c>
    </row>
    <row r="16">
      <c r="A16" s="5">
        <v>3.0</v>
      </c>
      <c r="B16" s="5">
        <v>14.0</v>
      </c>
      <c r="C16" s="6" t="s">
        <v>20</v>
      </c>
      <c r="D16" s="2">
        <v>3.0</v>
      </c>
      <c r="E16" s="2">
        <v>2100.0</v>
      </c>
      <c r="F16" s="39">
        <f t="shared" si="2"/>
        <v>700</v>
      </c>
    </row>
    <row r="17">
      <c r="A17" s="5">
        <v>3.0</v>
      </c>
      <c r="B17" s="5">
        <v>15.0</v>
      </c>
      <c r="C17" s="6" t="s">
        <v>21</v>
      </c>
      <c r="D17" s="2">
        <v>3.0</v>
      </c>
      <c r="E17" s="7">
        <f>1280+958+862</f>
        <v>3100</v>
      </c>
      <c r="F17" s="39">
        <f t="shared" si="2"/>
        <v>1033.333333</v>
      </c>
    </row>
    <row r="18">
      <c r="A18" s="5">
        <v>4.0</v>
      </c>
      <c r="B18" s="5">
        <v>16.0</v>
      </c>
      <c r="C18" s="6" t="s">
        <v>22</v>
      </c>
      <c r="D18" s="2">
        <v>8.0</v>
      </c>
      <c r="E18" s="7">
        <f>1076+1466+1454+949+986+712+1419+2091</f>
        <v>10153</v>
      </c>
      <c r="F18" s="39">
        <f t="shared" si="2"/>
        <v>1269.125</v>
      </c>
    </row>
    <row r="19">
      <c r="A19" s="5">
        <v>4.0</v>
      </c>
      <c r="B19" s="5">
        <v>17.0</v>
      </c>
      <c r="C19" s="6" t="s">
        <v>23</v>
      </c>
      <c r="D19" s="2">
        <v>2.0</v>
      </c>
      <c r="E19" s="7">
        <f>1348+1372</f>
        <v>2720</v>
      </c>
      <c r="F19" s="39">
        <f t="shared" si="2"/>
        <v>1360</v>
      </c>
    </row>
    <row r="20">
      <c r="A20" s="5">
        <v>4.0</v>
      </c>
      <c r="B20" s="5">
        <v>18.0</v>
      </c>
      <c r="C20" s="6" t="s">
        <v>24</v>
      </c>
      <c r="D20" s="2">
        <v>0.0</v>
      </c>
      <c r="E20" s="2">
        <v>0.0</v>
      </c>
      <c r="F20" s="2">
        <v>0.0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88"/>
    <col customWidth="1" min="2" max="2" width="8.88"/>
    <col customWidth="1" min="3" max="3" width="22.13"/>
    <col customWidth="1" min="4" max="5" width="12.63"/>
    <col customWidth="1" min="6" max="6" width="13.0"/>
  </cols>
  <sheetData>
    <row r="1">
      <c r="A1" s="1" t="s">
        <v>3</v>
      </c>
      <c r="B1" s="1" t="s">
        <v>4</v>
      </c>
      <c r="C1" s="1" t="s">
        <v>5</v>
      </c>
      <c r="D1" s="1" t="s">
        <v>204</v>
      </c>
      <c r="E1" s="1" t="s">
        <v>205</v>
      </c>
      <c r="F1" s="1" t="s">
        <v>206</v>
      </c>
    </row>
    <row r="2">
      <c r="A2" s="4">
        <v>0.0</v>
      </c>
      <c r="B2" s="5">
        <v>0.0</v>
      </c>
      <c r="C2" s="6" t="s">
        <v>6</v>
      </c>
      <c r="D2" s="38">
        <v>88.0</v>
      </c>
      <c r="E2" s="36">
        <v>0.0</v>
      </c>
      <c r="F2" s="7">
        <f t="shared" ref="F2:F20" si="1">SUM(D2:E2)</f>
        <v>88</v>
      </c>
    </row>
    <row r="3">
      <c r="A3" s="5">
        <v>1.0</v>
      </c>
      <c r="B3" s="5">
        <v>1.0</v>
      </c>
      <c r="C3" s="6" t="s">
        <v>7</v>
      </c>
      <c r="D3" s="38">
        <v>672.0</v>
      </c>
      <c r="E3" s="38">
        <v>282.0</v>
      </c>
      <c r="F3" s="7">
        <f t="shared" si="1"/>
        <v>954</v>
      </c>
    </row>
    <row r="4">
      <c r="A4" s="5">
        <v>1.0</v>
      </c>
      <c r="B4" s="5">
        <v>2.0</v>
      </c>
      <c r="C4" s="6" t="s">
        <v>8</v>
      </c>
      <c r="D4" s="36">
        <v>291.0</v>
      </c>
      <c r="E4" s="38">
        <v>185.0</v>
      </c>
      <c r="F4" s="7">
        <f t="shared" si="1"/>
        <v>476</v>
      </c>
    </row>
    <row r="5">
      <c r="A5" s="5">
        <v>1.0</v>
      </c>
      <c r="B5" s="5">
        <v>3.0</v>
      </c>
      <c r="C5" s="6" t="s">
        <v>9</v>
      </c>
      <c r="D5" s="38">
        <v>322.0</v>
      </c>
      <c r="E5" s="38">
        <v>116.0</v>
      </c>
      <c r="F5" s="7">
        <f t="shared" si="1"/>
        <v>438</v>
      </c>
    </row>
    <row r="6">
      <c r="A6" s="5">
        <v>1.0</v>
      </c>
      <c r="B6" s="5">
        <v>4.0</v>
      </c>
      <c r="C6" s="6" t="s">
        <v>10</v>
      </c>
      <c r="D6" s="38">
        <v>244.0</v>
      </c>
      <c r="E6" s="38">
        <v>107.0</v>
      </c>
      <c r="F6" s="7">
        <f t="shared" si="1"/>
        <v>351</v>
      </c>
    </row>
    <row r="7">
      <c r="A7" s="5">
        <v>1.0</v>
      </c>
      <c r="B7" s="5">
        <v>5.0</v>
      </c>
      <c r="C7" s="6" t="s">
        <v>11</v>
      </c>
      <c r="D7" s="38">
        <v>298.0</v>
      </c>
      <c r="E7" s="38">
        <v>259.0</v>
      </c>
      <c r="F7" s="7">
        <f t="shared" si="1"/>
        <v>557</v>
      </c>
    </row>
    <row r="8">
      <c r="A8" s="5">
        <v>2.0</v>
      </c>
      <c r="B8" s="5">
        <v>6.0</v>
      </c>
      <c r="C8" s="6" t="s">
        <v>12</v>
      </c>
      <c r="D8" s="38">
        <v>255.0</v>
      </c>
      <c r="E8" s="38">
        <v>180.0</v>
      </c>
      <c r="F8" s="7">
        <f t="shared" si="1"/>
        <v>435</v>
      </c>
    </row>
    <row r="9">
      <c r="A9" s="5">
        <v>2.0</v>
      </c>
      <c r="B9" s="5">
        <v>7.0</v>
      </c>
      <c r="C9" s="6" t="s">
        <v>13</v>
      </c>
      <c r="D9" s="38">
        <v>227.0</v>
      </c>
      <c r="E9" s="38">
        <v>126.0</v>
      </c>
      <c r="F9" s="7">
        <f t="shared" si="1"/>
        <v>353</v>
      </c>
    </row>
    <row r="10">
      <c r="A10" s="5">
        <v>2.0</v>
      </c>
      <c r="B10" s="5">
        <v>8.0</v>
      </c>
      <c r="C10" s="6" t="s">
        <v>14</v>
      </c>
      <c r="D10" s="38">
        <v>789.0</v>
      </c>
      <c r="E10" s="38">
        <v>123.0</v>
      </c>
      <c r="F10" s="7">
        <f t="shared" si="1"/>
        <v>912</v>
      </c>
    </row>
    <row r="11">
      <c r="A11" s="5">
        <v>2.0</v>
      </c>
      <c r="B11" s="5">
        <v>9.0</v>
      </c>
      <c r="C11" s="6" t="s">
        <v>15</v>
      </c>
      <c r="D11" s="38">
        <v>348.0</v>
      </c>
      <c r="E11" s="38">
        <v>113.0</v>
      </c>
      <c r="F11" s="7">
        <f t="shared" si="1"/>
        <v>461</v>
      </c>
    </row>
    <row r="12">
      <c r="A12" s="5">
        <v>2.0</v>
      </c>
      <c r="B12" s="5">
        <v>10.0</v>
      </c>
      <c r="C12" s="6" t="s">
        <v>16</v>
      </c>
      <c r="D12" s="38">
        <v>423.0</v>
      </c>
      <c r="E12" s="38">
        <v>214.0</v>
      </c>
      <c r="F12" s="7">
        <f t="shared" si="1"/>
        <v>637</v>
      </c>
    </row>
    <row r="13">
      <c r="A13" s="5">
        <v>3.0</v>
      </c>
      <c r="B13" s="5">
        <v>11.0</v>
      </c>
      <c r="C13" s="6" t="s">
        <v>17</v>
      </c>
      <c r="D13" s="38">
        <v>418.0</v>
      </c>
      <c r="E13" s="38">
        <v>229.0</v>
      </c>
      <c r="F13" s="7">
        <f t="shared" si="1"/>
        <v>647</v>
      </c>
    </row>
    <row r="14">
      <c r="A14" s="5">
        <v>3.0</v>
      </c>
      <c r="B14" s="5">
        <v>12.0</v>
      </c>
      <c r="C14" s="6" t="s">
        <v>18</v>
      </c>
      <c r="D14" s="38">
        <v>411.0</v>
      </c>
      <c r="E14" s="38">
        <v>283.0</v>
      </c>
      <c r="F14" s="7">
        <f t="shared" si="1"/>
        <v>694</v>
      </c>
    </row>
    <row r="15">
      <c r="A15" s="5">
        <v>3.0</v>
      </c>
      <c r="B15" s="5">
        <v>13.0</v>
      </c>
      <c r="C15" s="6" t="s">
        <v>19</v>
      </c>
      <c r="D15" s="38">
        <v>250.0</v>
      </c>
      <c r="E15" s="38">
        <v>191.0</v>
      </c>
      <c r="F15" s="7">
        <f t="shared" si="1"/>
        <v>441</v>
      </c>
    </row>
    <row r="16">
      <c r="A16" s="5">
        <v>3.0</v>
      </c>
      <c r="B16" s="5">
        <v>14.0</v>
      </c>
      <c r="C16" s="6" t="s">
        <v>20</v>
      </c>
      <c r="D16" s="38">
        <v>229.0</v>
      </c>
      <c r="E16" s="38">
        <v>201.0</v>
      </c>
      <c r="F16" s="7">
        <f t="shared" si="1"/>
        <v>430</v>
      </c>
    </row>
    <row r="17">
      <c r="A17" s="5">
        <v>3.0</v>
      </c>
      <c r="B17" s="5">
        <v>15.0</v>
      </c>
      <c r="C17" s="6" t="s">
        <v>21</v>
      </c>
      <c r="D17" s="38">
        <v>291.0</v>
      </c>
      <c r="E17" s="38">
        <v>287.0</v>
      </c>
      <c r="F17" s="7">
        <f t="shared" si="1"/>
        <v>578</v>
      </c>
    </row>
    <row r="18">
      <c r="A18" s="5">
        <v>4.0</v>
      </c>
      <c r="B18" s="5">
        <v>16.0</v>
      </c>
      <c r="C18" s="6" t="s">
        <v>22</v>
      </c>
      <c r="D18" s="2">
        <v>246.0</v>
      </c>
      <c r="E18" s="2">
        <v>199.0</v>
      </c>
      <c r="F18" s="7">
        <f t="shared" si="1"/>
        <v>445</v>
      </c>
    </row>
    <row r="19">
      <c r="A19" s="5">
        <v>4.0</v>
      </c>
      <c r="B19" s="5">
        <v>17.0</v>
      </c>
      <c r="C19" s="6" t="s">
        <v>23</v>
      </c>
      <c r="D19" s="2">
        <v>268.0</v>
      </c>
      <c r="E19" s="2">
        <v>256.0</v>
      </c>
      <c r="F19" s="7">
        <f t="shared" si="1"/>
        <v>524</v>
      </c>
    </row>
    <row r="20">
      <c r="A20" s="5">
        <v>4.0</v>
      </c>
      <c r="B20" s="5">
        <v>18.0</v>
      </c>
      <c r="C20" s="6" t="s">
        <v>24</v>
      </c>
      <c r="D20" s="2">
        <v>182.0</v>
      </c>
      <c r="E20" s="2">
        <v>210.0</v>
      </c>
      <c r="F20" s="7">
        <f t="shared" si="1"/>
        <v>392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3" width="8.13"/>
    <col customWidth="1" min="4" max="4" width="17.5"/>
    <col customWidth="1" min="5" max="5" width="8.5"/>
    <col customWidth="1" min="6" max="6" width="10.88"/>
    <col customWidth="1" min="7" max="7" width="5.25"/>
    <col customWidth="1" min="8" max="8" width="9.63"/>
    <col customWidth="1" min="9" max="9" width="13.63"/>
  </cols>
  <sheetData>
    <row r="1">
      <c r="A1" s="1" t="s">
        <v>3</v>
      </c>
      <c r="B1" s="1" t="s">
        <v>4</v>
      </c>
      <c r="C1" s="1" t="s">
        <v>5</v>
      </c>
      <c r="D1" s="1" t="s">
        <v>207</v>
      </c>
      <c r="E1" s="1" t="s">
        <v>208</v>
      </c>
      <c r="F1" s="1" t="s">
        <v>209</v>
      </c>
      <c r="G1" s="1" t="s">
        <v>210</v>
      </c>
      <c r="H1" s="1" t="s">
        <v>211</v>
      </c>
      <c r="I1" s="1" t="s">
        <v>212</v>
      </c>
      <c r="J1" s="2" t="s">
        <v>213</v>
      </c>
      <c r="K1" s="1" t="s">
        <v>208</v>
      </c>
      <c r="L1" s="1" t="s">
        <v>52</v>
      </c>
      <c r="M1" s="1" t="s">
        <v>210</v>
      </c>
      <c r="N1" s="1" t="s">
        <v>211</v>
      </c>
      <c r="O1" s="1" t="s">
        <v>212</v>
      </c>
      <c r="P1" s="2" t="s">
        <v>213</v>
      </c>
      <c r="Q1" s="1" t="s">
        <v>190</v>
      </c>
      <c r="R1" s="1" t="s">
        <v>52</v>
      </c>
      <c r="S1" s="1" t="s">
        <v>210</v>
      </c>
      <c r="T1" s="1" t="s">
        <v>211</v>
      </c>
      <c r="U1" s="1" t="s">
        <v>212</v>
      </c>
    </row>
    <row r="2">
      <c r="A2" s="4">
        <v>0.0</v>
      </c>
      <c r="B2" s="5">
        <v>0.0</v>
      </c>
      <c r="C2" s="6" t="s">
        <v>6</v>
      </c>
      <c r="D2" s="2" t="s">
        <v>214</v>
      </c>
      <c r="J2" s="2" t="s">
        <v>215</v>
      </c>
    </row>
    <row r="3">
      <c r="A3" s="5">
        <v>1.0</v>
      </c>
      <c r="B3" s="5">
        <v>1.0</v>
      </c>
      <c r="C3" s="6" t="s">
        <v>7</v>
      </c>
      <c r="D3" s="2" t="s">
        <v>214</v>
      </c>
      <c r="J3" s="2" t="s">
        <v>215</v>
      </c>
    </row>
    <row r="4">
      <c r="A4" s="5">
        <v>1.0</v>
      </c>
      <c r="B4" s="5">
        <v>2.0</v>
      </c>
      <c r="C4" s="6" t="s">
        <v>8</v>
      </c>
      <c r="D4" s="2" t="s">
        <v>214</v>
      </c>
      <c r="J4" s="2" t="s">
        <v>215</v>
      </c>
    </row>
    <row r="5">
      <c r="A5" s="5">
        <v>1.0</v>
      </c>
      <c r="B5" s="5">
        <v>3.0</v>
      </c>
      <c r="C5" s="6" t="s">
        <v>9</v>
      </c>
      <c r="D5" s="2" t="s">
        <v>214</v>
      </c>
      <c r="J5" s="2" t="s">
        <v>215</v>
      </c>
    </row>
    <row r="6">
      <c r="A6" s="5">
        <v>1.0</v>
      </c>
      <c r="B6" s="5">
        <v>4.0</v>
      </c>
      <c r="C6" s="6" t="s">
        <v>10</v>
      </c>
      <c r="D6" s="2" t="s">
        <v>214</v>
      </c>
      <c r="J6" s="2" t="s">
        <v>215</v>
      </c>
    </row>
    <row r="7">
      <c r="A7" s="5">
        <v>1.0</v>
      </c>
      <c r="B7" s="5">
        <v>5.0</v>
      </c>
      <c r="C7" s="6" t="s">
        <v>11</v>
      </c>
      <c r="D7" s="2" t="s">
        <v>214</v>
      </c>
      <c r="J7" s="2" t="s">
        <v>215</v>
      </c>
    </row>
    <row r="8">
      <c r="A8" s="5">
        <v>2.0</v>
      </c>
      <c r="B8" s="5">
        <v>6.0</v>
      </c>
      <c r="C8" s="6" t="s">
        <v>12</v>
      </c>
      <c r="D8" s="2" t="s">
        <v>214</v>
      </c>
      <c r="J8" s="2" t="s">
        <v>215</v>
      </c>
    </row>
    <row r="9">
      <c r="A9" s="5">
        <v>2.0</v>
      </c>
      <c r="B9" s="5">
        <v>7.0</v>
      </c>
      <c r="C9" s="6" t="s">
        <v>13</v>
      </c>
      <c r="D9" s="2" t="s">
        <v>214</v>
      </c>
      <c r="J9" s="2" t="s">
        <v>215</v>
      </c>
    </row>
    <row r="10">
      <c r="A10" s="5">
        <v>2.0</v>
      </c>
      <c r="B10" s="5">
        <v>8.0</v>
      </c>
      <c r="C10" s="6" t="s">
        <v>14</v>
      </c>
      <c r="D10" s="2" t="s">
        <v>214</v>
      </c>
      <c r="J10" s="2" t="s">
        <v>215</v>
      </c>
    </row>
    <row r="11">
      <c r="A11" s="5">
        <v>2.0</v>
      </c>
      <c r="B11" s="5">
        <v>9.0</v>
      </c>
      <c r="C11" s="6" t="s">
        <v>15</v>
      </c>
      <c r="D11" s="2" t="s">
        <v>214</v>
      </c>
      <c r="J11" s="2" t="s">
        <v>215</v>
      </c>
    </row>
    <row r="12">
      <c r="A12" s="5">
        <v>2.0</v>
      </c>
      <c r="B12" s="5">
        <v>10.0</v>
      </c>
      <c r="C12" s="6" t="s">
        <v>16</v>
      </c>
      <c r="D12" s="2" t="s">
        <v>214</v>
      </c>
      <c r="J12" s="2" t="s">
        <v>215</v>
      </c>
    </row>
    <row r="13">
      <c r="A13" s="5">
        <v>3.0</v>
      </c>
      <c r="B13" s="5">
        <v>11.0</v>
      </c>
      <c r="C13" s="6" t="s">
        <v>17</v>
      </c>
      <c r="D13" s="2" t="s">
        <v>214</v>
      </c>
      <c r="J13" s="2" t="s">
        <v>215</v>
      </c>
    </row>
    <row r="14">
      <c r="A14" s="5">
        <v>3.0</v>
      </c>
      <c r="B14" s="5">
        <v>12.0</v>
      </c>
      <c r="C14" s="6" t="s">
        <v>18</v>
      </c>
      <c r="D14" s="2" t="s">
        <v>214</v>
      </c>
      <c r="J14" s="2" t="s">
        <v>215</v>
      </c>
    </row>
    <row r="15">
      <c r="A15" s="5">
        <v>3.0</v>
      </c>
      <c r="B15" s="5">
        <v>13.0</v>
      </c>
      <c r="C15" s="6" t="s">
        <v>19</v>
      </c>
      <c r="D15" s="2" t="s">
        <v>214</v>
      </c>
      <c r="J15" s="2" t="s">
        <v>215</v>
      </c>
    </row>
    <row r="16">
      <c r="A16" s="5">
        <v>3.0</v>
      </c>
      <c r="B16" s="5">
        <v>14.0</v>
      </c>
      <c r="C16" s="6" t="s">
        <v>20</v>
      </c>
      <c r="D16" s="2" t="s">
        <v>214</v>
      </c>
      <c r="J16" s="2" t="s">
        <v>215</v>
      </c>
    </row>
    <row r="17">
      <c r="A17" s="5">
        <v>3.0</v>
      </c>
      <c r="B17" s="5">
        <v>15.0</v>
      </c>
      <c r="C17" s="6" t="s">
        <v>21</v>
      </c>
      <c r="D17" s="2" t="s">
        <v>214</v>
      </c>
      <c r="J17" s="2" t="s">
        <v>215</v>
      </c>
    </row>
    <row r="18">
      <c r="A18" s="5">
        <v>4.0</v>
      </c>
      <c r="B18" s="5">
        <v>16.0</v>
      </c>
      <c r="C18" s="6" t="s">
        <v>22</v>
      </c>
      <c r="D18" s="2" t="s">
        <v>214</v>
      </c>
      <c r="J18" s="2" t="s">
        <v>215</v>
      </c>
    </row>
    <row r="19">
      <c r="A19" s="5">
        <v>4.0</v>
      </c>
      <c r="B19" s="5">
        <v>17.0</v>
      </c>
      <c r="C19" s="6" t="s">
        <v>23</v>
      </c>
      <c r="D19" s="2" t="s">
        <v>214</v>
      </c>
      <c r="J19" s="2" t="s">
        <v>215</v>
      </c>
    </row>
    <row r="20">
      <c r="A20" s="5">
        <v>4.0</v>
      </c>
      <c r="B20" s="5">
        <v>18.0</v>
      </c>
      <c r="C20" s="6" t="s">
        <v>24</v>
      </c>
      <c r="D20" s="2" t="s">
        <v>214</v>
      </c>
    </row>
    <row r="23">
      <c r="A23" s="2"/>
    </row>
  </sheetData>
  <drawing r:id="rId1"/>
</worksheet>
</file>